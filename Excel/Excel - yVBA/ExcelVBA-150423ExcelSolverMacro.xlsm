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360" yWindow="45" windowWidth="15015" windowHeight="7515"/>
  </bookViews>
  <sheets>
    <sheet name="Sheet1" sheetId="2" r:id="rId1"/>
    <sheet name="Sheet2" sheetId="3" r:id="rId2"/>
  </sheets>
  <definedNames>
    <definedName name="_b">Sheet2!$B$11</definedName>
    <definedName name="_l">Sheet2!$B$14</definedName>
    <definedName name="_m">Sheet2!$B$3</definedName>
    <definedName name="_r">Sheet2!$B$13</definedName>
    <definedName name="eSRAM_size">Sheet2!$B$7</definedName>
    <definedName name="eSRAM_yield">Sheet2!$B$8</definedName>
    <definedName name="FBU">Sheet1!$G$3</definedName>
    <definedName name="FXM">Sheet1!$G$2</definedName>
    <definedName name="RPF">Sheet1!$G$4</definedName>
    <definedName name="solver_adj" localSheetId="1" hidden="1">Sheet2!$H$20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Sheet2!$H$2</definedName>
    <definedName name="solver_lhs10" localSheetId="1" hidden="1">Sheet2!$H$6</definedName>
    <definedName name="solver_lhs11" localSheetId="1" hidden="1">Sheet2!$H$7</definedName>
    <definedName name="solver_lhs12" localSheetId="1" hidden="1">Sheet2!$H$7</definedName>
    <definedName name="solver_lhs13" localSheetId="1" hidden="1">Sheet2!$H$8</definedName>
    <definedName name="solver_lhs14" localSheetId="1" hidden="1">Sheet2!$H$8</definedName>
    <definedName name="solver_lhs15" localSheetId="1" hidden="1">Sheet2!$H$9</definedName>
    <definedName name="solver_lhs16" localSheetId="1" hidden="1">Sheet2!$H$9</definedName>
    <definedName name="solver_lhs17" localSheetId="1" hidden="1">Sheet2!$H$10</definedName>
    <definedName name="solver_lhs18" localSheetId="1" hidden="1">Sheet2!$H$10</definedName>
    <definedName name="solver_lhs19" localSheetId="1" hidden="1">Sheet2!$H$11</definedName>
    <definedName name="solver_lhs2" localSheetId="1" hidden="1">Sheet2!$H$2</definedName>
    <definedName name="solver_lhs20" localSheetId="1" hidden="1">Sheet2!$H$11</definedName>
    <definedName name="solver_lhs21" localSheetId="1" hidden="1">Sheet2!$H$12</definedName>
    <definedName name="solver_lhs22" localSheetId="1" hidden="1">Sheet2!$H$12</definedName>
    <definedName name="solver_lhs23" localSheetId="1" hidden="1">Sheet2!$H$13</definedName>
    <definedName name="solver_lhs24" localSheetId="1" hidden="1">Sheet2!$H$13</definedName>
    <definedName name="solver_lhs25" localSheetId="1" hidden="1">Sheet2!$H$14</definedName>
    <definedName name="solver_lhs26" localSheetId="1" hidden="1">Sheet2!$H$14</definedName>
    <definedName name="solver_lhs27" localSheetId="1" hidden="1">Sheet2!$H$15</definedName>
    <definedName name="solver_lhs28" localSheetId="1" hidden="1">Sheet2!$H$15</definedName>
    <definedName name="solver_lhs29" localSheetId="1" hidden="1">Sheet2!$H$16</definedName>
    <definedName name="solver_lhs3" localSheetId="1" hidden="1">Sheet2!$H$3</definedName>
    <definedName name="solver_lhs30" localSheetId="1" hidden="1">Sheet2!$H$16</definedName>
    <definedName name="solver_lhs31" localSheetId="1" hidden="1">Sheet2!$H$17</definedName>
    <definedName name="solver_lhs32" localSheetId="1" hidden="1">Sheet2!$H$17</definedName>
    <definedName name="solver_lhs33" localSheetId="1" hidden="1">Sheet2!$H$18</definedName>
    <definedName name="solver_lhs34" localSheetId="1" hidden="1">Sheet2!$H$18</definedName>
    <definedName name="solver_lhs35" localSheetId="1" hidden="1">Sheet2!$H$19</definedName>
    <definedName name="solver_lhs36" localSheetId="1" hidden="1">Sheet2!$H$19</definedName>
    <definedName name="solver_lhs37" localSheetId="1" hidden="1">Sheet2!$H$20</definedName>
    <definedName name="solver_lhs38" localSheetId="1" hidden="1">Sheet2!$H$20</definedName>
    <definedName name="solver_lhs4" localSheetId="1" hidden="1">Sheet2!$H$3</definedName>
    <definedName name="solver_lhs5" localSheetId="1" hidden="1">Sheet2!$H$4</definedName>
    <definedName name="solver_lhs6" localSheetId="1" hidden="1">Sheet2!$H$4</definedName>
    <definedName name="solver_lhs7" localSheetId="1" hidden="1">Sheet2!$H$5</definedName>
    <definedName name="solver_lhs8" localSheetId="1" hidden="1">Sheet2!$H$5</definedName>
    <definedName name="solver_lhs9" localSheetId="1" hidden="1">Sheet2!$H$6</definedName>
    <definedName name="solver_lin" localSheetId="1" hidden="1">2</definedName>
    <definedName name="solver_neg" localSheetId="1" hidden="1">2</definedName>
    <definedName name="solver_num" localSheetId="1" hidden="1">38</definedName>
    <definedName name="solver_nwt" localSheetId="1" hidden="1">1</definedName>
    <definedName name="solver_opt" localSheetId="1" hidden="1">Sheet2!$N$20</definedName>
    <definedName name="solver_pre" localSheetId="1" hidden="1">0.001</definedName>
    <definedName name="solver_rel1" localSheetId="1" hidden="1">1</definedName>
    <definedName name="solver_rel10" localSheetId="1" hidden="1">3</definedName>
    <definedName name="solver_rel11" localSheetId="1" hidden="1">1</definedName>
    <definedName name="solver_rel12" localSheetId="1" hidden="1">3</definedName>
    <definedName name="solver_rel13" localSheetId="1" hidden="1">1</definedName>
    <definedName name="solver_rel14" localSheetId="1" hidden="1">3</definedName>
    <definedName name="solver_rel15" localSheetId="1" hidden="1">1</definedName>
    <definedName name="solver_rel16" localSheetId="1" hidden="1">3</definedName>
    <definedName name="solver_rel17" localSheetId="1" hidden="1">1</definedName>
    <definedName name="solver_rel18" localSheetId="1" hidden="1">3</definedName>
    <definedName name="solver_rel19" localSheetId="1" hidden="1">1</definedName>
    <definedName name="solver_rel2" localSheetId="1" hidden="1">3</definedName>
    <definedName name="solver_rel20" localSheetId="1" hidden="1">3</definedName>
    <definedName name="solver_rel21" localSheetId="1" hidden="1">1</definedName>
    <definedName name="solver_rel22" localSheetId="1" hidden="1">3</definedName>
    <definedName name="solver_rel23" localSheetId="1" hidden="1">1</definedName>
    <definedName name="solver_rel24" localSheetId="1" hidden="1">3</definedName>
    <definedName name="solver_rel25" localSheetId="1" hidden="1">1</definedName>
    <definedName name="solver_rel26" localSheetId="1" hidden="1">3</definedName>
    <definedName name="solver_rel27" localSheetId="1" hidden="1">1</definedName>
    <definedName name="solver_rel28" localSheetId="1" hidden="1">3</definedName>
    <definedName name="solver_rel29" localSheetId="1" hidden="1">1</definedName>
    <definedName name="solver_rel3" localSheetId="1" hidden="1">1</definedName>
    <definedName name="solver_rel30" localSheetId="1" hidden="1">3</definedName>
    <definedName name="solver_rel31" localSheetId="1" hidden="1">1</definedName>
    <definedName name="solver_rel32" localSheetId="1" hidden="1">3</definedName>
    <definedName name="solver_rel33" localSheetId="1" hidden="1">1</definedName>
    <definedName name="solver_rel34" localSheetId="1" hidden="1">3</definedName>
    <definedName name="solver_rel35" localSheetId="1" hidden="1">1</definedName>
    <definedName name="solver_rel36" localSheetId="1" hidden="1">3</definedName>
    <definedName name="solver_rel37" localSheetId="1" hidden="1">1</definedName>
    <definedName name="solver_rel38" localSheetId="1" hidden="1">3</definedName>
    <definedName name="solver_rel4" localSheetId="1" hidden="1">3</definedName>
    <definedName name="solver_rel5" localSheetId="1" hidden="1">1</definedName>
    <definedName name="solver_rel6" localSheetId="1" hidden="1">3</definedName>
    <definedName name="solver_rel7" localSheetId="1" hidden="1">1</definedName>
    <definedName name="solver_rel8" localSheetId="1" hidden="1">3</definedName>
    <definedName name="solver_rel9" localSheetId="1" hidden="1">1</definedName>
    <definedName name="solver_rhs1" localSheetId="1" hidden="1">Sheet2!$B$7</definedName>
    <definedName name="solver_rhs10" localSheetId="1" hidden="1">0</definedName>
    <definedName name="solver_rhs11" localSheetId="1" hidden="1">Sheet2!$B$7</definedName>
    <definedName name="solver_rhs12" localSheetId="1" hidden="1">0</definedName>
    <definedName name="solver_rhs13" localSheetId="1" hidden="1">Sheet2!$B$7</definedName>
    <definedName name="solver_rhs14" localSheetId="1" hidden="1">0</definedName>
    <definedName name="solver_rhs15" localSheetId="1" hidden="1">Sheet2!$B$7</definedName>
    <definedName name="solver_rhs16" localSheetId="1" hidden="1">0</definedName>
    <definedName name="solver_rhs17" localSheetId="1" hidden="1">Sheet2!$B$7</definedName>
    <definedName name="solver_rhs18" localSheetId="1" hidden="1">0</definedName>
    <definedName name="solver_rhs19" localSheetId="1" hidden="1">Sheet2!$B$7</definedName>
    <definedName name="solver_rhs2" localSheetId="1" hidden="1">0</definedName>
    <definedName name="solver_rhs20" localSheetId="1" hidden="1">0</definedName>
    <definedName name="solver_rhs21" localSheetId="1" hidden="1">Sheet2!$B$7</definedName>
    <definedName name="solver_rhs22" localSheetId="1" hidden="1">0</definedName>
    <definedName name="solver_rhs23" localSheetId="1" hidden="1">Sheet2!$B$7</definedName>
    <definedName name="solver_rhs24" localSheetId="1" hidden="1">0</definedName>
    <definedName name="solver_rhs25" localSheetId="1" hidden="1">Sheet2!$B$7</definedName>
    <definedName name="solver_rhs26" localSheetId="1" hidden="1">0</definedName>
    <definedName name="solver_rhs27" localSheetId="1" hidden="1">Sheet2!$B$7</definedName>
    <definedName name="solver_rhs28" localSheetId="1" hidden="1">0</definedName>
    <definedName name="solver_rhs29" localSheetId="1" hidden="1">Sheet2!$B$7</definedName>
    <definedName name="solver_rhs3" localSheetId="1" hidden="1">Sheet2!$B$7</definedName>
    <definedName name="solver_rhs30" localSheetId="1" hidden="1">0</definedName>
    <definedName name="solver_rhs31" localSheetId="1" hidden="1">Sheet2!$B$7</definedName>
    <definedName name="solver_rhs32" localSheetId="1" hidden="1">0</definedName>
    <definedName name="solver_rhs33" localSheetId="1" hidden="1">Sheet2!$B$7</definedName>
    <definedName name="solver_rhs34" localSheetId="1" hidden="1">0</definedName>
    <definedName name="solver_rhs35" localSheetId="1" hidden="1">Sheet2!$B$7</definedName>
    <definedName name="solver_rhs36" localSheetId="1" hidden="1">0</definedName>
    <definedName name="solver_rhs37" localSheetId="1" hidden="1">Sheet2!$B$7</definedName>
    <definedName name="solver_rhs38" localSheetId="1" hidden="1">0</definedName>
    <definedName name="solver_rhs4" localSheetId="1" hidden="1">0</definedName>
    <definedName name="solver_rhs5" localSheetId="1" hidden="1">Sheet2!$B$7</definedName>
    <definedName name="solver_rhs6" localSheetId="1" hidden="1">0</definedName>
    <definedName name="solver_rhs7" localSheetId="1" hidden="1">Sheet2!$B$7</definedName>
    <definedName name="solver_rhs8" localSheetId="1" hidden="1">0</definedName>
    <definedName name="solver_rhs9" localSheetId="1" hidden="1">Sheet2!$B$7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1</definedName>
  </definedNames>
  <calcPr calcId="125725"/>
</workbook>
</file>

<file path=xl/calcChain.xml><?xml version="1.0" encoding="utf-8"?>
<calcChain xmlns="http://schemas.openxmlformats.org/spreadsheetml/2006/main">
  <c r="J3" i="3"/>
  <c r="J4"/>
  <c r="J5"/>
  <c r="J6"/>
  <c r="J7"/>
  <c r="J8"/>
  <c r="J9"/>
  <c r="J10"/>
  <c r="J11"/>
  <c r="J12"/>
  <c r="J13"/>
  <c r="J14"/>
  <c r="J15"/>
  <c r="J16"/>
  <c r="J17"/>
  <c r="J18"/>
  <c r="J19"/>
  <c r="J20"/>
  <c r="J2"/>
  <c r="I2"/>
  <c r="F4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3"/>
  <c r="I3" s="1"/>
  <c r="G2"/>
  <c r="K2" s="1"/>
  <c r="A4" i="2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3"/>
  <c r="C2"/>
  <c r="E2" s="1"/>
  <c r="C1"/>
  <c r="B2"/>
  <c r="D2" s="1"/>
  <c r="G20" i="3" l="1"/>
  <c r="K20" s="1"/>
  <c r="I20"/>
  <c r="I19"/>
  <c r="I17"/>
  <c r="I15"/>
  <c r="I13"/>
  <c r="I11"/>
  <c r="I9"/>
  <c r="I7"/>
  <c r="I5"/>
  <c r="I18"/>
  <c r="I16"/>
  <c r="I14"/>
  <c r="I12"/>
  <c r="I10"/>
  <c r="I8"/>
  <c r="I6"/>
  <c r="I4"/>
  <c r="L20"/>
  <c r="G12"/>
  <c r="K12" s="1"/>
  <c r="G19"/>
  <c r="K19" s="1"/>
  <c r="L19" s="1"/>
  <c r="G11"/>
  <c r="K11" s="1"/>
  <c r="L11" s="1"/>
  <c r="G7"/>
  <c r="K7" s="1"/>
  <c r="L7" s="1"/>
  <c r="G3"/>
  <c r="K3" s="1"/>
  <c r="L3" s="1"/>
  <c r="G9"/>
  <c r="G5"/>
  <c r="K5" s="1"/>
  <c r="L5" s="1"/>
  <c r="L2"/>
  <c r="G15"/>
  <c r="G13"/>
  <c r="G17"/>
  <c r="G18"/>
  <c r="K18" s="1"/>
  <c r="G16"/>
  <c r="K16" s="1"/>
  <c r="G14"/>
  <c r="K14" s="1"/>
  <c r="G10"/>
  <c r="K10" s="1"/>
  <c r="G8"/>
  <c r="K8" s="1"/>
  <c r="G6"/>
  <c r="K6" s="1"/>
  <c r="G4"/>
  <c r="K4" s="1"/>
  <c r="C3" i="2"/>
  <c r="C4"/>
  <c r="E4" s="1"/>
  <c r="E3"/>
  <c r="B4"/>
  <c r="D4" s="1"/>
  <c r="B3"/>
  <c r="D3" s="1"/>
  <c r="K17" i="3" l="1"/>
  <c r="L17" s="1"/>
  <c r="M17" s="1"/>
  <c r="N17" s="1"/>
  <c r="K15"/>
  <c r="L15" s="1"/>
  <c r="M15" s="1"/>
  <c r="N15" s="1"/>
  <c r="K9"/>
  <c r="L9" s="1"/>
  <c r="M9" s="1"/>
  <c r="N9" s="1"/>
  <c r="K13"/>
  <c r="L13" s="1"/>
  <c r="M13" s="1"/>
  <c r="N13" s="1"/>
  <c r="M20"/>
  <c r="N20" s="1"/>
  <c r="M2"/>
  <c r="N2" s="1"/>
  <c r="L6"/>
  <c r="M6" s="1"/>
  <c r="N6" s="1"/>
  <c r="L10"/>
  <c r="M10" s="1"/>
  <c r="N10" s="1"/>
  <c r="L14"/>
  <c r="M14" s="1"/>
  <c r="N14" s="1"/>
  <c r="L18"/>
  <c r="M18" s="1"/>
  <c r="N18" s="1"/>
  <c r="L4"/>
  <c r="M4" s="1"/>
  <c r="N4" s="1"/>
  <c r="L8"/>
  <c r="M8" s="1"/>
  <c r="N8" s="1"/>
  <c r="L12"/>
  <c r="M12" s="1"/>
  <c r="N12" s="1"/>
  <c r="L16"/>
  <c r="M16" s="1"/>
  <c r="N16" s="1"/>
  <c r="M19"/>
  <c r="N19" s="1"/>
  <c r="M3"/>
  <c r="N3" s="1"/>
  <c r="M7"/>
  <c r="N7" s="1"/>
  <c r="M11"/>
  <c r="N11" s="1"/>
  <c r="M5"/>
  <c r="N5" s="1"/>
  <c r="B5" i="2"/>
  <c r="D5" s="1"/>
  <c r="C5"/>
  <c r="E5" s="1"/>
  <c r="C6"/>
  <c r="E6" l="1"/>
  <c r="B6"/>
  <c r="D6" s="1"/>
  <c r="C7"/>
  <c r="E7" l="1"/>
  <c r="C8"/>
  <c r="B7"/>
  <c r="D7" s="1"/>
  <c r="E8" l="1"/>
  <c r="C9"/>
  <c r="B8"/>
  <c r="D8" s="1"/>
  <c r="E9" l="1"/>
  <c r="C10"/>
  <c r="B9"/>
  <c r="D9" s="1"/>
  <c r="E10" l="1"/>
  <c r="B10"/>
  <c r="D10" s="1"/>
  <c r="C11"/>
  <c r="E11" l="1"/>
  <c r="B11"/>
  <c r="D11" s="1"/>
  <c r="C12"/>
  <c r="E12" l="1"/>
  <c r="B12"/>
  <c r="D12" s="1"/>
  <c r="C13"/>
  <c r="E13" l="1"/>
  <c r="C14"/>
  <c r="B13"/>
  <c r="D13" s="1"/>
  <c r="E14" l="1"/>
  <c r="C15"/>
  <c r="B14"/>
  <c r="D14" s="1"/>
  <c r="E15" l="1"/>
  <c r="C16"/>
  <c r="B15"/>
  <c r="D15" s="1"/>
  <c r="E16" l="1"/>
  <c r="B16"/>
  <c r="D16" s="1"/>
  <c r="C17"/>
  <c r="E17" l="1"/>
  <c r="C18"/>
  <c r="B17"/>
  <c r="D17" s="1"/>
  <c r="C19" l="1"/>
  <c r="E18"/>
  <c r="B18"/>
  <c r="D18" s="1"/>
  <c r="E19" l="1"/>
  <c r="C20"/>
  <c r="B19"/>
  <c r="D19" s="1"/>
  <c r="E20" l="1"/>
  <c r="B20"/>
  <c r="D20" s="1"/>
  <c r="C21"/>
  <c r="E21" l="1"/>
  <c r="B21"/>
  <c r="D21" s="1"/>
  <c r="C22"/>
  <c r="E22" l="1"/>
  <c r="B22"/>
  <c r="D22" s="1"/>
  <c r="C23"/>
  <c r="E23" l="1"/>
  <c r="C24"/>
  <c r="B23"/>
  <c r="D23" s="1"/>
  <c r="E24" l="1"/>
  <c r="B24"/>
  <c r="D24" s="1"/>
  <c r="C25"/>
  <c r="E25" l="1"/>
  <c r="B25"/>
  <c r="D25" s="1"/>
  <c r="C26"/>
  <c r="E26" l="1"/>
  <c r="B26"/>
  <c r="D26" s="1"/>
  <c r="C27"/>
  <c r="E27" l="1"/>
  <c r="B27"/>
  <c r="D27" s="1"/>
</calcChain>
</file>

<file path=xl/sharedStrings.xml><?xml version="1.0" encoding="utf-8"?>
<sst xmlns="http://schemas.openxmlformats.org/spreadsheetml/2006/main" count="52" uniqueCount="42">
  <si>
    <t>DPU</t>
    <phoneticPr fontId="1" type="noConversion"/>
  </si>
  <si>
    <t>Poisson(0,DPU,1)</t>
    <phoneticPr fontId="1" type="noConversion"/>
  </si>
  <si>
    <t>Yfixable</t>
    <phoneticPr fontId="1" type="noConversion"/>
  </si>
  <si>
    <t>(Mb)</t>
    <phoneticPr fontId="1" type="noConversion"/>
  </si>
  <si>
    <t>Fixable memory (FXM)</t>
    <phoneticPr fontId="1" type="noConversion"/>
  </si>
  <si>
    <t>Fixable block unit (FBU)</t>
    <phoneticPr fontId="1" type="noConversion"/>
  </si>
  <si>
    <t>Redundancy per FBU (RPF)</t>
    <phoneticPr fontId="1" type="noConversion"/>
  </si>
  <si>
    <t>(bit)</t>
    <phoneticPr fontId="1" type="noConversion"/>
  </si>
  <si>
    <t>Yperfect</t>
    <phoneticPr fontId="1" type="noConversion"/>
  </si>
  <si>
    <t>Alias</t>
    <phoneticPr fontId="1" type="noConversion"/>
  </si>
  <si>
    <t>Tech. Max. Memory (TMM)</t>
    <phoneticPr fontId="1" type="noConversion"/>
  </si>
  <si>
    <t>m</t>
    <phoneticPr fontId="1" type="noConversion"/>
  </si>
  <si>
    <t>horizontal axis</t>
    <phoneticPr fontId="1" type="noConversion"/>
  </si>
  <si>
    <t>Tech. (Perfect) Yield Target</t>
    <phoneticPr fontId="1" type="noConversion"/>
  </si>
  <si>
    <t>Technology Yield Reference</t>
    <phoneticPr fontId="1" type="noConversion"/>
  </si>
  <si>
    <t>eSRAM size</t>
    <phoneticPr fontId="1" type="noConversion"/>
  </si>
  <si>
    <t>eSRAM Yield Calculation</t>
    <phoneticPr fontId="1" type="noConversion"/>
  </si>
  <si>
    <t>eSRAM yield</t>
    <phoneticPr fontId="1" type="noConversion"/>
  </si>
  <si>
    <t>Non-Fixable Memory (NFM)</t>
    <phoneticPr fontId="1" type="noConversion"/>
  </si>
  <si>
    <t>?</t>
    <phoneticPr fontId="1" type="noConversion"/>
  </si>
  <si>
    <t>p</t>
    <phoneticPr fontId="1" type="noConversion"/>
  </si>
  <si>
    <t>Fixable Memory (FXM)</t>
    <phoneticPr fontId="1" type="noConversion"/>
  </si>
  <si>
    <t>q=m-p</t>
    <phoneticPr fontId="1" type="noConversion"/>
  </si>
  <si>
    <t>Fixable Block Unit (FBU) size</t>
    <phoneticPr fontId="1" type="noConversion"/>
  </si>
  <si>
    <t>(Kb)</t>
    <phoneticPr fontId="1" type="noConversion"/>
  </si>
  <si>
    <t>b</t>
    <phoneticPr fontId="1" type="noConversion"/>
  </si>
  <si>
    <t>FBU count</t>
    <phoneticPr fontId="1" type="noConversion"/>
  </si>
  <si>
    <t>c=q/b</t>
    <phoneticPr fontId="1" type="noConversion"/>
  </si>
  <si>
    <t>Redundancy width per FBU (RW)</t>
    <phoneticPr fontId="1" type="noConversion"/>
  </si>
  <si>
    <t>(ea)</t>
    <phoneticPr fontId="1" type="noConversion"/>
  </si>
  <si>
    <t>r</t>
    <phoneticPr fontId="1" type="noConversion"/>
  </si>
  <si>
    <t>Redundancy length per FBU (RL)</t>
    <phoneticPr fontId="1" type="noConversion"/>
  </si>
  <si>
    <t>(b)</t>
    <phoneticPr fontId="1" type="noConversion"/>
  </si>
  <si>
    <t>l</t>
    <phoneticPr fontId="1" type="noConversion"/>
  </si>
  <si>
    <t>Y(l)</t>
    <phoneticPr fontId="1" type="noConversion"/>
  </si>
  <si>
    <t>p(Mb)_solver</t>
    <phoneticPr fontId="1" type="noConversion"/>
  </si>
  <si>
    <t>Y(p)</t>
    <phoneticPr fontId="1" type="noConversion"/>
  </si>
  <si>
    <t>q(Mb)</t>
    <phoneticPr fontId="1" type="noConversion"/>
  </si>
  <si>
    <t>Lamda</t>
    <phoneticPr fontId="1" type="noConversion"/>
  </si>
  <si>
    <t>Y(q)</t>
    <phoneticPr fontId="1" type="noConversion"/>
  </si>
  <si>
    <t>Ycalc</t>
    <phoneticPr fontId="1" type="noConversion"/>
  </si>
  <si>
    <t>Ycalc/Ytarget</t>
    <phoneticPr fontId="1" type="noConversion"/>
  </si>
</sst>
</file>

<file path=xl/styles.xml><?xml version="1.0" encoding="utf-8"?>
<styleSheet xmlns="http://schemas.openxmlformats.org/spreadsheetml/2006/main">
  <numFmts count="3">
    <numFmt numFmtId="176" formatCode="0.000_ "/>
    <numFmt numFmtId="177" formatCode="0.00_ "/>
    <numFmt numFmtId="178" formatCode="0.0_ "/>
  </numFmts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F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176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11" fontId="0" fillId="0" borderId="0" xfId="0" applyNumberFormat="1" applyAlignment="1">
      <alignment horizontal="center" vertical="center"/>
    </xf>
    <xf numFmtId="0" fontId="0" fillId="0" borderId="0" xfId="0" applyAlignment="1">
      <alignment horizontal="right" textRotation="90"/>
    </xf>
    <xf numFmtId="178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colors>
    <mruColors>
      <color rgb="FF0000FF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0.10871546997219417"/>
          <c:y val="4.5830834613165623E-2"/>
          <c:w val="0.8532499155427361"/>
          <c:h val="0.82008922259330719"/>
        </c:manualLayout>
      </c:layout>
      <c:scatterChart>
        <c:scatterStyle val="lineMarker"/>
        <c:ser>
          <c:idx val="1"/>
          <c:order val="0"/>
          <c:tx>
            <c:strRef>
              <c:f>Sheet1!$D$1</c:f>
              <c:strCache>
                <c:ptCount val="1"/>
                <c:pt idx="0">
                  <c:v>Yperfect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ysClr val="window" lastClr="FFFFFF"/>
                </a:solidFill>
              </a:ln>
            </c:spPr>
          </c:marker>
          <c:xVal>
            <c:numRef>
              <c:f>Sheet1!$B$2:$B$27</c:f>
              <c:numCache>
                <c:formatCode>0.000_ </c:formatCode>
                <c:ptCount val="26"/>
                <c:pt idx="0">
                  <c:v>0.99999900000050002</c:v>
                </c:pt>
                <c:pt idx="1">
                  <c:v>0.99999800000200001</c:v>
                </c:pt>
                <c:pt idx="2">
                  <c:v>0.99999600000800004</c:v>
                </c:pt>
                <c:pt idx="3">
                  <c:v>0.99999200003200006</c:v>
                </c:pt>
                <c:pt idx="4">
                  <c:v>0.99998400012799926</c:v>
                </c:pt>
                <c:pt idx="5">
                  <c:v>0.99996800051199441</c:v>
                </c:pt>
                <c:pt idx="6">
                  <c:v>0.99993600204795619</c:v>
                </c:pt>
                <c:pt idx="7">
                  <c:v>0.99987200819165067</c:v>
                </c:pt>
                <c:pt idx="8">
                  <c:v>0.99974403276520385</c:v>
                </c:pt>
                <c:pt idx="9">
                  <c:v>0.99948813104963319</c:v>
                </c:pt>
                <c:pt idx="10">
                  <c:v>0.99897652410908899</c:v>
                </c:pt>
                <c:pt idx="11">
                  <c:v>0.99795409572107729</c:v>
                </c:pt>
                <c:pt idx="12">
                  <c:v>0.9959123771664723</c:v>
                </c:pt>
                <c:pt idx="13">
                  <c:v>0.99184146299337428</c:v>
                </c:pt>
                <c:pt idx="14">
                  <c:v>0.98374948771283666</c:v>
                </c:pt>
                <c:pt idx="15">
                  <c:v>0.96776305457526846</c:v>
                </c:pt>
                <c:pt idx="16">
                  <c:v>0.9365653298008535</c:v>
                </c:pt>
                <c:pt idx="17">
                  <c:v>0.87715461698498176</c:v>
                </c:pt>
                <c:pt idx="18">
                  <c:v>0.76940022209807546</c:v>
                </c:pt>
                <c:pt idx="19">
                  <c:v>0.59197670176457151</c:v>
                </c:pt>
                <c:pt idx="20">
                  <c:v>0.35043641543204573</c:v>
                </c:pt>
                <c:pt idx="21">
                  <c:v>0.12280568126086254</c:v>
                </c:pt>
                <c:pt idx="22">
                  <c:v>1.5081235349944351E-2</c:v>
                </c:pt>
                <c:pt idx="23">
                  <c:v>2.274436596804073E-4</c:v>
                </c:pt>
                <c:pt idx="24">
                  <c:v>5.1730618328817448E-8</c:v>
                </c:pt>
                <c:pt idx="25">
                  <c:v>2.676056872681648E-15</c:v>
                </c:pt>
              </c:numCache>
            </c:numRef>
          </c:xVal>
          <c:yVal>
            <c:numRef>
              <c:f>Sheet1!$D$2:$D$27</c:f>
              <c:numCache>
                <c:formatCode>0.000_ </c:formatCode>
                <c:ptCount val="26"/>
                <c:pt idx="0">
                  <c:v>0.9997440327652084</c:v>
                </c:pt>
                <c:pt idx="1">
                  <c:v>0.99948813104964207</c:v>
                </c:pt>
                <c:pt idx="2">
                  <c:v>0.99897652410910653</c:v>
                </c:pt>
                <c:pt idx="3">
                  <c:v>0.99795409572111227</c:v>
                </c:pt>
                <c:pt idx="4">
                  <c:v>0.99591237716645808</c:v>
                </c:pt>
                <c:pt idx="5">
                  <c:v>0.99184146299334541</c:v>
                </c:pt>
                <c:pt idx="6">
                  <c:v>0.98374948771280757</c:v>
                </c:pt>
                <c:pt idx="7">
                  <c:v>0.96776305457532164</c:v>
                </c:pt>
                <c:pt idx="8">
                  <c:v>0.93656532980082374</c:v>
                </c:pt>
                <c:pt idx="9">
                  <c:v>0.87715461698497488</c:v>
                </c:pt>
                <c:pt idx="10">
                  <c:v>0.76940022209810099</c:v>
                </c:pt>
                <c:pt idx="11">
                  <c:v>0.59197670176460715</c:v>
                </c:pt>
                <c:pt idx="12">
                  <c:v>0.35043641543203441</c:v>
                </c:pt>
                <c:pt idx="13">
                  <c:v>0.12280568126086944</c:v>
                </c:pt>
                <c:pt idx="14">
                  <c:v>1.5081235349945035E-2</c:v>
                </c:pt>
                <c:pt idx="15">
                  <c:v>2.2744365968042503E-4</c:v>
                </c:pt>
                <c:pt idx="16">
                  <c:v>5.173061832881627E-8</c:v>
                </c:pt>
                <c:pt idx="17">
                  <c:v>2.6760568726819177E-15</c:v>
                </c:pt>
                <c:pt idx="18">
                  <c:v>7.1612803858410523E-30</c:v>
                </c:pt>
                <c:pt idx="19">
                  <c:v>5.1283936764713036E-59</c:v>
                </c:pt>
                <c:pt idx="20">
                  <c:v>2.6300421700588089E-117</c:v>
                </c:pt>
                <c:pt idx="21">
                  <c:v>6.9171218163048787E-234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</c:ser>
        <c:ser>
          <c:idx val="2"/>
          <c:order val="1"/>
          <c:tx>
            <c:strRef>
              <c:f>Sheet1!$E$1</c:f>
              <c:strCache>
                <c:ptCount val="1"/>
                <c:pt idx="0">
                  <c:v>Yfixable</c:v>
                </c:pt>
              </c:strCache>
            </c:strRef>
          </c:tx>
          <c:spPr>
            <a:ln w="28575">
              <a:solidFill>
                <a:schemeClr val="accent3"/>
              </a:solidFill>
            </a:ln>
          </c:spPr>
          <c:marker>
            <c:spPr>
              <a:ln>
                <a:solidFill>
                  <a:schemeClr val="bg1"/>
                </a:solidFill>
              </a:ln>
            </c:spPr>
          </c:marker>
          <c:xVal>
            <c:numRef>
              <c:f>Sheet1!$B$2:$B$27</c:f>
              <c:numCache>
                <c:formatCode>0.000_ </c:formatCode>
                <c:ptCount val="26"/>
                <c:pt idx="0">
                  <c:v>0.99999900000050002</c:v>
                </c:pt>
                <c:pt idx="1">
                  <c:v>0.99999800000200001</c:v>
                </c:pt>
                <c:pt idx="2">
                  <c:v>0.99999600000800004</c:v>
                </c:pt>
                <c:pt idx="3">
                  <c:v>0.99999200003200006</c:v>
                </c:pt>
                <c:pt idx="4">
                  <c:v>0.99998400012799926</c:v>
                </c:pt>
                <c:pt idx="5">
                  <c:v>0.99996800051199441</c:v>
                </c:pt>
                <c:pt idx="6">
                  <c:v>0.99993600204795619</c:v>
                </c:pt>
                <c:pt idx="7">
                  <c:v>0.99987200819165067</c:v>
                </c:pt>
                <c:pt idx="8">
                  <c:v>0.99974403276520385</c:v>
                </c:pt>
                <c:pt idx="9">
                  <c:v>0.99948813104963319</c:v>
                </c:pt>
                <c:pt idx="10">
                  <c:v>0.99897652410908899</c:v>
                </c:pt>
                <c:pt idx="11">
                  <c:v>0.99795409572107729</c:v>
                </c:pt>
                <c:pt idx="12">
                  <c:v>0.9959123771664723</c:v>
                </c:pt>
                <c:pt idx="13">
                  <c:v>0.99184146299337428</c:v>
                </c:pt>
                <c:pt idx="14">
                  <c:v>0.98374948771283666</c:v>
                </c:pt>
                <c:pt idx="15">
                  <c:v>0.96776305457526846</c:v>
                </c:pt>
                <c:pt idx="16">
                  <c:v>0.9365653298008535</c:v>
                </c:pt>
                <c:pt idx="17">
                  <c:v>0.87715461698498176</c:v>
                </c:pt>
                <c:pt idx="18">
                  <c:v>0.76940022209807546</c:v>
                </c:pt>
                <c:pt idx="19">
                  <c:v>0.59197670176457151</c:v>
                </c:pt>
                <c:pt idx="20">
                  <c:v>0.35043641543204573</c:v>
                </c:pt>
                <c:pt idx="21">
                  <c:v>0.12280568126086254</c:v>
                </c:pt>
                <c:pt idx="22">
                  <c:v>1.5081235349944351E-2</c:v>
                </c:pt>
                <c:pt idx="23">
                  <c:v>2.274436596804073E-4</c:v>
                </c:pt>
                <c:pt idx="24">
                  <c:v>5.1730618328817448E-8</c:v>
                </c:pt>
                <c:pt idx="25">
                  <c:v>2.676056872681648E-15</c:v>
                </c:pt>
              </c:numCache>
            </c:numRef>
          </c:xVal>
          <c:yVal>
            <c:numRef>
              <c:f>Sheet1!$E$2:$E$27</c:f>
              <c:numCache>
                <c:formatCode>0.000_ 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0.99999999999755573</c:v>
                </c:pt>
                <c:pt idx="13">
                  <c:v>0.99999999992192556</c:v>
                </c:pt>
                <c:pt idx="14">
                  <c:v>0.99999999751554469</c:v>
                </c:pt>
                <c:pt idx="15">
                  <c:v>0.9999999215751556</c:v>
                </c:pt>
                <c:pt idx="16">
                  <c:v>0.99999755792980183</c:v>
                </c:pt>
                <c:pt idx="17">
                  <c:v>0.99992600023077116</c:v>
                </c:pt>
                <c:pt idx="18">
                  <c:v>0.99787809318581699</c:v>
                </c:pt>
                <c:pt idx="19">
                  <c:v>0.94671655733530147</c:v>
                </c:pt>
                <c:pt idx="20">
                  <c:v>0.318430220706371</c:v>
                </c:pt>
                <c:pt idx="21">
                  <c:v>7.9878695049982159E-8</c:v>
                </c:pt>
                <c:pt idx="22">
                  <c:v>3.2665754499501759E-59</c:v>
                </c:pt>
                <c:pt idx="23">
                  <c:v>2.5813148052638136E-282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1"/>
        </c:ser>
        <c:axId val="58283136"/>
        <c:axId val="58285056"/>
      </c:scatterChart>
      <c:valAx>
        <c:axId val="58283136"/>
        <c:scaling>
          <c:orientation val="minMax"/>
        </c:scaling>
        <c:axPos val="b"/>
        <c:numFmt formatCode="0.000_ " sourceLinked="1"/>
        <c:tickLblPos val="nextTo"/>
        <c:crossAx val="58285056"/>
        <c:crosses val="autoZero"/>
        <c:crossBetween val="midCat"/>
      </c:valAx>
      <c:valAx>
        <c:axId val="58285056"/>
        <c:scaling>
          <c:orientation val="minMax"/>
        </c:scaling>
        <c:axPos val="l"/>
        <c:numFmt formatCode="0.000_ " sourceLinked="1"/>
        <c:tickLblPos val="nextTo"/>
        <c:crossAx val="582831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0.17364976851851852"/>
          <c:y val="4.3439646464646473E-2"/>
          <c:w val="0.66739953703703714"/>
          <c:h val="0.74143560606060621"/>
        </c:manualLayout>
      </c:layout>
      <c:scatterChart>
        <c:scatterStyle val="smoothMarker"/>
        <c:ser>
          <c:idx val="0"/>
          <c:order val="0"/>
          <c:tx>
            <c:v>NFM</c:v>
          </c:tx>
          <c:xVal>
            <c:numRef>
              <c:f>Sheet2!$F$2:$F$20</c:f>
              <c:numCache>
                <c:formatCode>0.00_ 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</c:numCache>
            </c:numRef>
          </c:xVal>
          <c:yVal>
            <c:numRef>
              <c:f>Sheet2!$H$2:$H$20</c:f>
              <c:numCache>
                <c:formatCode>0.0_ </c:formatCode>
                <c:ptCount val="19"/>
                <c:pt idx="0">
                  <c:v>73.148603991221407</c:v>
                </c:pt>
                <c:pt idx="1">
                  <c:v>60.779770534151055</c:v>
                </c:pt>
                <c:pt idx="2">
                  <c:v>49.903658033050419</c:v>
                </c:pt>
                <c:pt idx="3">
                  <c:v>47.088609594403103</c:v>
                </c:pt>
                <c:pt idx="4">
                  <c:v>2.8185347963328917</c:v>
                </c:pt>
                <c:pt idx="5">
                  <c:v>75.563526290888049</c:v>
                </c:pt>
                <c:pt idx="6">
                  <c:v>86.95009387309905</c:v>
                </c:pt>
                <c:pt idx="7">
                  <c:v>99.712906684470724</c:v>
                </c:pt>
                <c:pt idx="8">
                  <c:v>114.18114282691809</c:v>
                </c:pt>
                <c:pt idx="9">
                  <c:v>128</c:v>
                </c:pt>
                <c:pt idx="10">
                  <c:v>127.99999999999999</c:v>
                </c:pt>
                <c:pt idx="11">
                  <c:v>128</c:v>
                </c:pt>
                <c:pt idx="12">
                  <c:v>128</c:v>
                </c:pt>
                <c:pt idx="13">
                  <c:v>128</c:v>
                </c:pt>
                <c:pt idx="14">
                  <c:v>127.99999999999999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</c:numCache>
            </c:numRef>
          </c:yVal>
          <c:smooth val="1"/>
        </c:ser>
        <c:ser>
          <c:idx val="1"/>
          <c:order val="1"/>
          <c:tx>
            <c:v>FXM</c:v>
          </c:tx>
          <c:xVal>
            <c:numRef>
              <c:f>Sheet2!$F$2:$F$20</c:f>
              <c:numCache>
                <c:formatCode>0.00_ 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</c:numCache>
            </c:numRef>
          </c:xVal>
          <c:yVal>
            <c:numRef>
              <c:f>Sheet2!$J$2:$J$20</c:f>
              <c:numCache>
                <c:formatCode>0.0_ </c:formatCode>
                <c:ptCount val="19"/>
                <c:pt idx="0">
                  <c:v>54.851396008778593</c:v>
                </c:pt>
                <c:pt idx="1">
                  <c:v>67.220229465848945</c:v>
                </c:pt>
                <c:pt idx="2">
                  <c:v>78.096341966949581</c:v>
                </c:pt>
                <c:pt idx="3">
                  <c:v>80.911390405596904</c:v>
                </c:pt>
                <c:pt idx="4">
                  <c:v>125.1814652036671</c:v>
                </c:pt>
                <c:pt idx="5">
                  <c:v>52.436473709111951</c:v>
                </c:pt>
                <c:pt idx="6">
                  <c:v>41.04990612690095</c:v>
                </c:pt>
                <c:pt idx="7">
                  <c:v>28.287093315529276</c:v>
                </c:pt>
                <c:pt idx="8">
                  <c:v>13.818857173081909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</c:ser>
        <c:axId val="130798720"/>
        <c:axId val="130801024"/>
      </c:scatterChart>
      <c:scatterChart>
        <c:scatterStyle val="smoothMarker"/>
        <c:ser>
          <c:idx val="2"/>
          <c:order val="2"/>
          <c:tx>
            <c:strRef>
              <c:f>Sheet2!$N$1</c:f>
              <c:strCache>
                <c:ptCount val="1"/>
                <c:pt idx="0">
                  <c:v>Ycalc/Ytarget</c:v>
                </c:pt>
              </c:strCache>
            </c:strRef>
          </c:tx>
          <c:xVal>
            <c:numRef>
              <c:f>Sheet2!$F$2:$F$20</c:f>
              <c:numCache>
                <c:formatCode>0.00_ 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</c:numCache>
            </c:numRef>
          </c:xVal>
          <c:yVal>
            <c:numRef>
              <c:f>Sheet2!$N$2:$N$20</c:f>
              <c:numCache>
                <c:formatCode>0.000_ </c:formatCode>
                <c:ptCount val="19"/>
                <c:pt idx="0">
                  <c:v>0.53979678431309253</c:v>
                </c:pt>
                <c:pt idx="1">
                  <c:v>0.74093083146558303</c:v>
                </c:pt>
                <c:pt idx="2">
                  <c:v>0.88879526490301874</c:v>
                </c:pt>
                <c:pt idx="3">
                  <c:v>1.0003392198641889</c:v>
                </c:pt>
                <c:pt idx="4">
                  <c:v>1.000123812162093</c:v>
                </c:pt>
                <c:pt idx="5">
                  <c:v>0.99999890168230687</c:v>
                </c:pt>
                <c:pt idx="6">
                  <c:v>0.99994322738372587</c:v>
                </c:pt>
                <c:pt idx="7">
                  <c:v>0.99976725853244008</c:v>
                </c:pt>
                <c:pt idx="8">
                  <c:v>1.0005245413815578</c:v>
                </c:pt>
                <c:pt idx="9">
                  <c:v>1.0101525445494757</c:v>
                </c:pt>
                <c:pt idx="10">
                  <c:v>1.0594569267254776</c:v>
                </c:pt>
                <c:pt idx="11">
                  <c:v>1.1065666703427683</c:v>
                </c:pt>
                <c:pt idx="12">
                  <c:v>1.1517511068978548</c:v>
                </c:pt>
                <c:pt idx="13">
                  <c:v>1.1952286093327285</c:v>
                </c:pt>
                <c:pt idx="14">
                  <c:v>1.2371791482620935</c:v>
                </c:pt>
                <c:pt idx="15">
                  <c:v>1.2777531299987663</c:v>
                </c:pt>
                <c:pt idx="16">
                  <c:v>1.3170777796124338</c:v>
                </c:pt>
                <c:pt idx="17">
                  <c:v>1.3552618543573194</c:v>
                </c:pt>
                <c:pt idx="18">
                  <c:v>1.3923991921152876</c:v>
                </c:pt>
              </c:numCache>
            </c:numRef>
          </c:yVal>
          <c:smooth val="1"/>
        </c:ser>
        <c:axId val="130813312"/>
        <c:axId val="130811392"/>
      </c:scatterChart>
      <c:valAx>
        <c:axId val="130798720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Perfect Yield</a:t>
                </a:r>
                <a:endParaRPr lang="ko-KR" altLang="en-US"/>
              </a:p>
            </c:rich>
          </c:tx>
          <c:layout/>
        </c:title>
        <c:numFmt formatCode="0.0_ " sourceLinked="0"/>
        <c:tickLblPos val="nextTo"/>
        <c:crossAx val="130801024"/>
        <c:crossesAt val="0"/>
        <c:crossBetween val="midCat"/>
        <c:majorUnit val="0.2"/>
      </c:valAx>
      <c:valAx>
        <c:axId val="130801024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ko-KR"/>
                  <a:t>Memory size (Mb)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1.5123931623931622E-3"/>
              <c:y val="0.23448939393939403"/>
            </c:manualLayout>
          </c:layout>
        </c:title>
        <c:numFmt formatCode="0_ " sourceLinked="0"/>
        <c:tickLblPos val="nextTo"/>
        <c:crossAx val="130798720"/>
        <c:crosses val="autoZero"/>
        <c:crossBetween val="midCat"/>
      </c:valAx>
      <c:valAx>
        <c:axId val="130811392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ko-KR"/>
                  <a:t>Ycalc/Ytarget</a:t>
                </a:r>
                <a:endParaRPr lang="ko-KR" altLang="en-US"/>
              </a:p>
            </c:rich>
          </c:tx>
          <c:layout/>
        </c:title>
        <c:numFmt formatCode="0.0_ " sourceLinked="0"/>
        <c:tickLblPos val="nextTo"/>
        <c:crossAx val="130813312"/>
        <c:crosses val="max"/>
        <c:crossBetween val="midCat"/>
      </c:valAx>
      <c:valAx>
        <c:axId val="130813312"/>
        <c:scaling>
          <c:orientation val="minMax"/>
        </c:scaling>
        <c:delete val="1"/>
        <c:axPos val="b"/>
        <c:numFmt formatCode="0.00_ " sourceLinked="1"/>
        <c:tickLblPos val="nextTo"/>
        <c:crossAx val="13081139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53183782051282058"/>
          <c:y val="0.50199318181818176"/>
          <c:w val="0.28025491452991452"/>
          <c:h val="0.19485176767676768"/>
        </c:manualLayout>
      </c:layout>
      <c:spPr>
        <a:ln>
          <a:solidFill>
            <a:schemeClr val="tx1">
              <a:lumMod val="50000"/>
              <a:lumOff val="50000"/>
            </a:schemeClr>
          </a:solidFill>
        </a:ln>
      </c:spPr>
    </c:legend>
    <c:plotVisOnly val="1"/>
  </c:chart>
  <c:spPr>
    <a:ln>
      <a:noFill/>
    </a:ln>
  </c:spPr>
  <c:txPr>
    <a:bodyPr/>
    <a:lstStyle/>
    <a:p>
      <a:pPr>
        <a:defRPr sz="1400"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238125</xdr:colOff>
      <xdr:row>7</xdr:row>
      <xdr:rowOff>66674</xdr:rowOff>
    </xdr:from>
    <xdr:to>
      <xdr:col>9</xdr:col>
      <xdr:colOff>390525</xdr:colOff>
      <xdr:row>21</xdr:row>
      <xdr:rowOff>209549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866776</xdr:colOff>
      <xdr:row>0</xdr:row>
      <xdr:rowOff>247650</xdr:rowOff>
    </xdr:from>
    <xdr:to>
      <xdr:col>1</xdr:col>
      <xdr:colOff>1</xdr:colOff>
      <xdr:row>0</xdr:row>
      <xdr:rowOff>714375</xdr:rowOff>
    </xdr:to>
    <xdr:sp macro="[0]!Button_Click" textlink="">
      <xdr:nvSpPr>
        <xdr:cNvPr id="2" name="빗면 1"/>
        <xdr:cNvSpPr/>
      </xdr:nvSpPr>
      <xdr:spPr>
        <a:xfrm>
          <a:off x="866776" y="247650"/>
          <a:ext cx="1543050" cy="4667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ko-KR" sz="1200"/>
            <a:t>Excel Solver Macro</a:t>
          </a:r>
          <a:endParaRPr lang="ko-KR" altLang="en-US" sz="1200"/>
        </a:p>
      </xdr:txBody>
    </xdr:sp>
    <xdr:clientData/>
  </xdr:twoCellAnchor>
  <xdr:twoCellAnchor editAs="absolute">
    <xdr:from>
      <xdr:col>14</xdr:col>
      <xdr:colOff>114300</xdr:colOff>
      <xdr:row>0</xdr:row>
      <xdr:rowOff>200025</xdr:rowOff>
    </xdr:from>
    <xdr:to>
      <xdr:col>19</xdr:col>
      <xdr:colOff>238125</xdr:colOff>
      <xdr:row>10</xdr:row>
      <xdr:rowOff>142875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620125" y="200025"/>
          <a:ext cx="3552825" cy="2714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6</xdr:col>
      <xdr:colOff>114300</xdr:colOff>
      <xdr:row>6</xdr:row>
      <xdr:rowOff>19050</xdr:rowOff>
    </xdr:from>
    <xdr:to>
      <xdr:col>14</xdr:col>
      <xdr:colOff>593775</xdr:colOff>
      <xdr:row>24</xdr:row>
      <xdr:rowOff>207150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7"/>
  <sheetViews>
    <sheetView showGridLines="0" tabSelected="1" workbookViewId="0">
      <selection activeCell="F5" sqref="F5"/>
    </sheetView>
  </sheetViews>
  <sheetFormatPr defaultRowHeight="16.5"/>
  <cols>
    <col min="1" max="1" width="8.625" style="2" bestFit="1" customWidth="1"/>
    <col min="2" max="3" width="16.75" style="1" bestFit="1" customWidth="1"/>
    <col min="4" max="4" width="8.375" style="1" bestFit="1" customWidth="1"/>
    <col min="5" max="5" width="8.125" bestFit="1" customWidth="1"/>
    <col min="6" max="6" width="26" bestFit="1" customWidth="1"/>
    <col min="7" max="7" width="5.125" bestFit="1" customWidth="1"/>
  </cols>
  <sheetData>
    <row r="1" spans="1:8">
      <c r="A1" s="2" t="s">
        <v>0</v>
      </c>
      <c r="B1" s="1" t="s">
        <v>1</v>
      </c>
      <c r="C1" s="1" t="str">
        <f>"Poisson("&amp;RPF&amp;",DPU,1)"</f>
        <v>Poisson(4,DPU,1)</v>
      </c>
      <c r="D1" s="1" t="s">
        <v>8</v>
      </c>
      <c r="E1" s="1" t="s">
        <v>2</v>
      </c>
    </row>
    <row r="2" spans="1:8">
      <c r="A2" s="7">
        <v>9.9999999999999995E-7</v>
      </c>
      <c r="B2" s="5">
        <f t="shared" ref="B2:B27" si="0">POISSON(0,$A2,1)</f>
        <v>0.99999900000050002</v>
      </c>
      <c r="C2" s="5">
        <f t="shared" ref="C2:C27" si="1">POISSON(RPF,$A2,1)</f>
        <v>1</v>
      </c>
      <c r="D2" s="6">
        <f t="shared" ref="D2:E27" si="2">B2^(FXM/FBU)</f>
        <v>0.9997440327652084</v>
      </c>
      <c r="E2" s="6">
        <f t="shared" si="2"/>
        <v>1</v>
      </c>
      <c r="F2" s="1" t="s">
        <v>4</v>
      </c>
      <c r="G2" s="4">
        <v>128</v>
      </c>
      <c r="H2" s="3" t="s">
        <v>3</v>
      </c>
    </row>
    <row r="3" spans="1:8">
      <c r="A3" s="2">
        <f>A2*2</f>
        <v>1.9999999999999999E-6</v>
      </c>
      <c r="B3" s="5">
        <f t="shared" si="0"/>
        <v>0.99999800000200001</v>
      </c>
      <c r="C3" s="5">
        <f t="shared" si="1"/>
        <v>1</v>
      </c>
      <c r="D3" s="6">
        <f t="shared" ref="D3" si="3">B3^(FXM/FBU)</f>
        <v>0.99948813104964207</v>
      </c>
      <c r="E3" s="6">
        <f t="shared" si="2"/>
        <v>1</v>
      </c>
      <c r="F3" s="1" t="s">
        <v>5</v>
      </c>
      <c r="G3" s="4">
        <v>0.5</v>
      </c>
      <c r="H3" t="s">
        <v>3</v>
      </c>
    </row>
    <row r="4" spans="1:8">
      <c r="A4" s="2">
        <f t="shared" ref="A4:A27" si="4">A3*2</f>
        <v>3.9999999999999998E-6</v>
      </c>
      <c r="B4" s="5">
        <f t="shared" si="0"/>
        <v>0.99999600000800004</v>
      </c>
      <c r="C4" s="5">
        <f t="shared" si="1"/>
        <v>1</v>
      </c>
      <c r="D4" s="6">
        <f t="shared" ref="D4" si="5">B4^(FXM/FBU)</f>
        <v>0.99897652410910653</v>
      </c>
      <c r="E4" s="6">
        <f t="shared" si="2"/>
        <v>1</v>
      </c>
      <c r="F4" s="1" t="s">
        <v>6</v>
      </c>
      <c r="G4" s="4">
        <v>4</v>
      </c>
      <c r="H4" t="s">
        <v>7</v>
      </c>
    </row>
    <row r="5" spans="1:8">
      <c r="A5" s="2">
        <f t="shared" si="4"/>
        <v>7.9999999999999996E-6</v>
      </c>
      <c r="B5" s="5">
        <f t="shared" si="0"/>
        <v>0.99999200003200006</v>
      </c>
      <c r="C5" s="5">
        <f t="shared" si="1"/>
        <v>1</v>
      </c>
      <c r="D5" s="6">
        <f t="shared" ref="D5" si="6">B5^(FXM/FBU)</f>
        <v>0.99795409572111227</v>
      </c>
      <c r="E5" s="6">
        <f t="shared" si="2"/>
        <v>1</v>
      </c>
    </row>
    <row r="6" spans="1:8">
      <c r="A6" s="2">
        <f t="shared" si="4"/>
        <v>1.5999999999999999E-5</v>
      </c>
      <c r="B6" s="5">
        <f t="shared" si="0"/>
        <v>0.99998400012799926</v>
      </c>
      <c r="C6" s="5">
        <f t="shared" si="1"/>
        <v>1</v>
      </c>
      <c r="D6" s="6">
        <f t="shared" ref="D6" si="7">B6^(FXM/FBU)</f>
        <v>0.99591237716645808</v>
      </c>
      <c r="E6" s="6">
        <f t="shared" si="2"/>
        <v>1</v>
      </c>
    </row>
    <row r="7" spans="1:8">
      <c r="A7" s="2">
        <f t="shared" si="4"/>
        <v>3.1999999999999999E-5</v>
      </c>
      <c r="B7" s="5">
        <f t="shared" si="0"/>
        <v>0.99996800051199441</v>
      </c>
      <c r="C7" s="5">
        <f t="shared" si="1"/>
        <v>1</v>
      </c>
      <c r="D7" s="6">
        <f t="shared" ref="D7" si="8">B7^(FXM/FBU)</f>
        <v>0.99184146299334541</v>
      </c>
      <c r="E7" s="6">
        <f t="shared" si="2"/>
        <v>1</v>
      </c>
    </row>
    <row r="8" spans="1:8">
      <c r="A8" s="2">
        <f t="shared" si="4"/>
        <v>6.3999999999999997E-5</v>
      </c>
      <c r="B8" s="5">
        <f t="shared" si="0"/>
        <v>0.99993600204795619</v>
      </c>
      <c r="C8" s="5">
        <f t="shared" si="1"/>
        <v>1</v>
      </c>
      <c r="D8" s="6">
        <f t="shared" ref="D8" si="9">B8^(FXM/FBU)</f>
        <v>0.98374948771280757</v>
      </c>
      <c r="E8" s="6">
        <f t="shared" si="2"/>
        <v>1</v>
      </c>
    </row>
    <row r="9" spans="1:8">
      <c r="A9" s="2">
        <f t="shared" si="4"/>
        <v>1.2799999999999999E-4</v>
      </c>
      <c r="B9" s="5">
        <f t="shared" si="0"/>
        <v>0.99987200819165067</v>
      </c>
      <c r="C9" s="5">
        <f t="shared" si="1"/>
        <v>1</v>
      </c>
      <c r="D9" s="6">
        <f t="shared" ref="D9" si="10">B9^(FXM/FBU)</f>
        <v>0.96776305457532164</v>
      </c>
      <c r="E9" s="6">
        <f t="shared" si="2"/>
        <v>1</v>
      </c>
    </row>
    <row r="10" spans="1:8">
      <c r="A10" s="2">
        <f t="shared" si="4"/>
        <v>2.5599999999999999E-4</v>
      </c>
      <c r="B10" s="5">
        <f t="shared" si="0"/>
        <v>0.99974403276520385</v>
      </c>
      <c r="C10" s="5">
        <f t="shared" si="1"/>
        <v>1</v>
      </c>
      <c r="D10" s="6">
        <f t="shared" ref="D10" si="11">B10^(FXM/FBU)</f>
        <v>0.93656532980082374</v>
      </c>
      <c r="E10" s="6">
        <f t="shared" si="2"/>
        <v>1</v>
      </c>
    </row>
    <row r="11" spans="1:8">
      <c r="A11" s="2">
        <f t="shared" si="4"/>
        <v>5.1199999999999998E-4</v>
      </c>
      <c r="B11" s="5">
        <f t="shared" si="0"/>
        <v>0.99948813104963319</v>
      </c>
      <c r="C11" s="5">
        <f t="shared" si="1"/>
        <v>1</v>
      </c>
      <c r="D11" s="6">
        <f t="shared" ref="D11" si="12">B11^(FXM/FBU)</f>
        <v>0.87715461698497488</v>
      </c>
      <c r="E11" s="6">
        <f t="shared" si="2"/>
        <v>1</v>
      </c>
    </row>
    <row r="12" spans="1:8">
      <c r="A12" s="2">
        <f t="shared" si="4"/>
        <v>1.024E-3</v>
      </c>
      <c r="B12" s="5">
        <f t="shared" si="0"/>
        <v>0.99897652410908899</v>
      </c>
      <c r="C12" s="5">
        <f t="shared" si="1"/>
        <v>1</v>
      </c>
      <c r="D12" s="6">
        <f t="shared" ref="D12" si="13">B12^(FXM/FBU)</f>
        <v>0.76940022209810099</v>
      </c>
      <c r="E12" s="6">
        <f t="shared" si="2"/>
        <v>1</v>
      </c>
    </row>
    <row r="13" spans="1:8">
      <c r="A13" s="2">
        <f t="shared" si="4"/>
        <v>2.0479999999999999E-3</v>
      </c>
      <c r="B13" s="5">
        <f t="shared" si="0"/>
        <v>0.99795409572107729</v>
      </c>
      <c r="C13" s="5">
        <f t="shared" si="1"/>
        <v>1</v>
      </c>
      <c r="D13" s="6">
        <f t="shared" ref="D13" si="14">B13^(FXM/FBU)</f>
        <v>0.59197670176460715</v>
      </c>
      <c r="E13" s="6">
        <f t="shared" si="2"/>
        <v>1</v>
      </c>
    </row>
    <row r="14" spans="1:8">
      <c r="A14" s="2">
        <f t="shared" si="4"/>
        <v>4.0959999999999998E-3</v>
      </c>
      <c r="B14" s="5">
        <f t="shared" si="0"/>
        <v>0.9959123771664723</v>
      </c>
      <c r="C14" s="5">
        <f t="shared" si="1"/>
        <v>0.99999999999999045</v>
      </c>
      <c r="D14" s="6">
        <f t="shared" ref="D14" si="15">B14^(FXM/FBU)</f>
        <v>0.35043641543203441</v>
      </c>
      <c r="E14" s="6">
        <f t="shared" si="2"/>
        <v>0.99999999999755573</v>
      </c>
    </row>
    <row r="15" spans="1:8">
      <c r="A15" s="2">
        <f t="shared" si="4"/>
        <v>8.1919999999999996E-3</v>
      </c>
      <c r="B15" s="5">
        <f t="shared" si="0"/>
        <v>0.99184146299337428</v>
      </c>
      <c r="C15" s="5">
        <f t="shared" si="1"/>
        <v>0.99999999999969502</v>
      </c>
      <c r="D15" s="6">
        <f t="shared" ref="D15" si="16">B15^(FXM/FBU)</f>
        <v>0.12280568126086944</v>
      </c>
      <c r="E15" s="6">
        <f t="shared" si="2"/>
        <v>0.99999999992192556</v>
      </c>
    </row>
    <row r="16" spans="1:8">
      <c r="A16" s="2">
        <f t="shared" si="4"/>
        <v>1.6383999999999999E-2</v>
      </c>
      <c r="B16" s="5">
        <f t="shared" si="0"/>
        <v>0.98374948771283666</v>
      </c>
      <c r="C16" s="5">
        <f t="shared" si="1"/>
        <v>0.9999999999902951</v>
      </c>
      <c r="D16" s="6">
        <f t="shared" ref="D16" si="17">B16^(FXM/FBU)</f>
        <v>1.5081235349945035E-2</v>
      </c>
      <c r="E16" s="6">
        <f t="shared" si="2"/>
        <v>0.99999999751554469</v>
      </c>
    </row>
    <row r="17" spans="1:5">
      <c r="A17" s="2">
        <f t="shared" si="4"/>
        <v>3.2767999999999999E-2</v>
      </c>
      <c r="B17" s="5">
        <f t="shared" si="0"/>
        <v>0.96776305457526846</v>
      </c>
      <c r="C17" s="5">
        <f t="shared" si="1"/>
        <v>0.99999999969365294</v>
      </c>
      <c r="D17" s="6">
        <f t="shared" ref="D17" si="18">B17^(FXM/FBU)</f>
        <v>2.2744365968042503E-4</v>
      </c>
      <c r="E17" s="6">
        <f t="shared" si="2"/>
        <v>0.9999999215751556</v>
      </c>
    </row>
    <row r="18" spans="1:5">
      <c r="A18" s="2">
        <f t="shared" si="4"/>
        <v>6.5535999999999997E-2</v>
      </c>
      <c r="B18" s="5">
        <f t="shared" si="0"/>
        <v>0.9365653298008535</v>
      </c>
      <c r="C18" s="5">
        <f t="shared" si="1"/>
        <v>0.99999999046065169</v>
      </c>
      <c r="D18" s="6">
        <f t="shared" ref="D18" si="19">B18^(FXM/FBU)</f>
        <v>5.173061832881627E-8</v>
      </c>
      <c r="E18" s="6">
        <f t="shared" si="2"/>
        <v>0.99999755792980183</v>
      </c>
    </row>
    <row r="19" spans="1:5">
      <c r="A19" s="2">
        <f t="shared" si="4"/>
        <v>0.13107199999999999</v>
      </c>
      <c r="B19" s="5">
        <f t="shared" si="0"/>
        <v>0.87715461698498176</v>
      </c>
      <c r="C19" s="5">
        <f t="shared" si="1"/>
        <v>0.99999971092774742</v>
      </c>
      <c r="D19" s="6">
        <f t="shared" ref="D19" si="20">B19^(FXM/FBU)</f>
        <v>2.6760568726819177E-15</v>
      </c>
      <c r="E19" s="6">
        <f t="shared" si="2"/>
        <v>0.99992600023077116</v>
      </c>
    </row>
    <row r="20" spans="1:5">
      <c r="A20" s="2">
        <f t="shared" si="4"/>
        <v>0.26214399999999999</v>
      </c>
      <c r="B20" s="5">
        <f t="shared" si="0"/>
        <v>0.76940022209807546</v>
      </c>
      <c r="C20" s="5">
        <f t="shared" si="1"/>
        <v>0.99999170252954861</v>
      </c>
      <c r="D20" s="6">
        <f t="shared" ref="D20" si="21">B20^(FXM/FBU)</f>
        <v>7.1612803858410523E-30</v>
      </c>
      <c r="E20" s="6">
        <f t="shared" si="2"/>
        <v>0.99787809318581699</v>
      </c>
    </row>
    <row r="21" spans="1:5">
      <c r="A21" s="2">
        <f t="shared" si="4"/>
        <v>0.52428799999999998</v>
      </c>
      <c r="B21" s="5">
        <f t="shared" si="0"/>
        <v>0.59197670176457151</v>
      </c>
      <c r="C21" s="5">
        <f t="shared" si="1"/>
        <v>0.99978613405823347</v>
      </c>
      <c r="D21" s="6">
        <f t="shared" ref="D21" si="22">B21^(FXM/FBU)</f>
        <v>5.1283936764713036E-59</v>
      </c>
      <c r="E21" s="6">
        <f t="shared" si="2"/>
        <v>0.94671655733530147</v>
      </c>
    </row>
    <row r="22" spans="1:5">
      <c r="A22" s="2">
        <f t="shared" si="4"/>
        <v>1.048576</v>
      </c>
      <c r="B22" s="5">
        <f t="shared" si="0"/>
        <v>0.35043641543204573</v>
      </c>
      <c r="C22" s="5">
        <f t="shared" si="1"/>
        <v>0.99553985146798829</v>
      </c>
      <c r="D22" s="6">
        <f t="shared" ref="D22" si="23">B22^(FXM/FBU)</f>
        <v>2.6300421700588089E-117</v>
      </c>
      <c r="E22" s="6">
        <f t="shared" si="2"/>
        <v>0.318430220706371</v>
      </c>
    </row>
    <row r="23" spans="1:5">
      <c r="A23" s="2">
        <f t="shared" si="4"/>
        <v>2.0971519999999999</v>
      </c>
      <c r="B23" s="5">
        <f t="shared" si="0"/>
        <v>0.12280568126086254</v>
      </c>
      <c r="C23" s="5">
        <f t="shared" si="1"/>
        <v>0.93815613066745684</v>
      </c>
      <c r="D23" s="6">
        <f t="shared" ref="D23" si="24">B23^(FXM/FBU)</f>
        <v>6.9171218163048787E-234</v>
      </c>
      <c r="E23" s="6">
        <f t="shared" si="2"/>
        <v>7.9878695049982159E-8</v>
      </c>
    </row>
    <row r="24" spans="1:5">
      <c r="A24" s="2">
        <f t="shared" si="4"/>
        <v>4.1943039999999998</v>
      </c>
      <c r="B24" s="5">
        <f t="shared" si="0"/>
        <v>1.5081235349944351E-2</v>
      </c>
      <c r="C24" s="5">
        <f t="shared" si="1"/>
        <v>0.59093460727476377</v>
      </c>
      <c r="D24" s="6">
        <f t="shared" ref="D24" si="25">B24^(FXM/FBU)</f>
        <v>0</v>
      </c>
      <c r="E24" s="6">
        <f t="shared" si="2"/>
        <v>3.2665754499501759E-59</v>
      </c>
    </row>
    <row r="25" spans="1:5">
      <c r="A25" s="2">
        <f t="shared" si="4"/>
        <v>8.3886079999999996</v>
      </c>
      <c r="B25" s="5">
        <f t="shared" si="0"/>
        <v>2.274436596804073E-4</v>
      </c>
      <c r="C25" s="5">
        <f t="shared" si="1"/>
        <v>7.9441283781260835E-2</v>
      </c>
      <c r="D25" s="6">
        <f t="shared" ref="D25" si="26">B25^(FXM/FBU)</f>
        <v>0</v>
      </c>
      <c r="E25" s="6">
        <f t="shared" si="2"/>
        <v>2.5813148052638136E-282</v>
      </c>
    </row>
    <row r="26" spans="1:5">
      <c r="A26" s="2">
        <f t="shared" si="4"/>
        <v>16.777215999999999</v>
      </c>
      <c r="B26" s="5">
        <f t="shared" si="0"/>
        <v>5.1730618328817448E-8</v>
      </c>
      <c r="C26" s="5">
        <f t="shared" si="1"/>
        <v>2.1968696318948785E-4</v>
      </c>
      <c r="D26" s="6">
        <f t="shared" ref="D26" si="27">B26^(FXM/FBU)</f>
        <v>0</v>
      </c>
      <c r="E26" s="6">
        <f t="shared" si="2"/>
        <v>0</v>
      </c>
    </row>
    <row r="27" spans="1:5">
      <c r="A27" s="2">
        <f t="shared" si="4"/>
        <v>33.554431999999998</v>
      </c>
      <c r="B27" s="5">
        <f t="shared" si="0"/>
        <v>2.676056872681648E-15</v>
      </c>
      <c r="C27" s="5">
        <f t="shared" si="1"/>
        <v>1.597947632969609E-10</v>
      </c>
      <c r="D27" s="6">
        <f t="shared" ref="D27" si="28">B27^(FXM/FBU)</f>
        <v>0</v>
      </c>
      <c r="E27" s="6">
        <f t="shared" si="2"/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20"/>
  <sheetViews>
    <sheetView showGridLines="0" topLeftCell="A4" workbookViewId="0">
      <selection activeCell="D10" sqref="D10"/>
    </sheetView>
  </sheetViews>
  <sheetFormatPr defaultRowHeight="16.5"/>
  <cols>
    <col min="1" max="1" width="31.625" style="1" bestFit="1" customWidth="1"/>
    <col min="2" max="2" width="5.5" style="2" bestFit="1" customWidth="1"/>
    <col min="3" max="4" width="5.625" bestFit="1" customWidth="1"/>
    <col min="5" max="5" width="2.625" customWidth="1"/>
    <col min="6" max="6" width="5.5" style="1" bestFit="1" customWidth="1"/>
    <col min="7" max="8" width="6.5" style="1" bestFit="1" customWidth="1"/>
    <col min="9" max="9" width="6.5" bestFit="1" customWidth="1"/>
    <col min="10" max="10" width="5.5" bestFit="1" customWidth="1"/>
    <col min="11" max="11" width="7.25" bestFit="1" customWidth="1"/>
    <col min="12" max="14" width="7.625" style="1" bestFit="1" customWidth="1"/>
  </cols>
  <sheetData>
    <row r="1" spans="1:14" ht="69.75">
      <c r="F1" s="8" t="s">
        <v>8</v>
      </c>
      <c r="G1" s="8" t="s">
        <v>34</v>
      </c>
      <c r="H1" s="8" t="s">
        <v>35</v>
      </c>
      <c r="I1" s="8" t="s">
        <v>36</v>
      </c>
      <c r="J1" s="8" t="s">
        <v>37</v>
      </c>
      <c r="K1" s="8" t="s">
        <v>38</v>
      </c>
      <c r="L1" s="8" t="s">
        <v>39</v>
      </c>
      <c r="M1" s="8" t="s">
        <v>40</v>
      </c>
      <c r="N1" s="8" t="s">
        <v>41</v>
      </c>
    </row>
    <row r="2" spans="1:14">
      <c r="A2" s="11" t="s">
        <v>14</v>
      </c>
      <c r="B2" s="11"/>
      <c r="C2" s="11"/>
      <c r="D2" t="s">
        <v>9</v>
      </c>
      <c r="F2" s="10">
        <v>0.05</v>
      </c>
      <c r="G2" s="5">
        <f t="shared" ref="G2:G19" si="0">F2^(_l/(_m*1024^2))</f>
        <v>0.99998857225358473</v>
      </c>
      <c r="H2" s="9">
        <v>73.148603991221407</v>
      </c>
      <c r="I2" s="6">
        <f t="shared" ref="I2:I20" si="1">F2^((H2+0.000000001)/_m)</f>
        <v>0.42486204752181866</v>
      </c>
      <c r="J2" s="9">
        <f t="shared" ref="J2:J20" si="2">eSRAM_size-H2</f>
        <v>54.851396008778593</v>
      </c>
      <c r="K2" s="6">
        <f t="shared" ref="K2:K20" si="3">(1-G2)*((eSRAM_size-H2)/_l*1024^2+_r)</f>
        <v>0.64191742335628954</v>
      </c>
      <c r="L2" s="6">
        <f t="shared" ref="L2:L19" si="4">POISSON(_r,K2,1)^(J2/_b*1024)</f>
        <v>0.88936573935745566</v>
      </c>
      <c r="M2" s="6">
        <f>I2*L2</f>
        <v>0.37785774901916475</v>
      </c>
      <c r="N2" s="6">
        <f t="shared" ref="N2:N19" si="5">M2/eSRAM_yield</f>
        <v>0.53979678431309253</v>
      </c>
    </row>
    <row r="3" spans="1:14">
      <c r="A3" s="1" t="s">
        <v>10</v>
      </c>
      <c r="B3" s="2">
        <v>256</v>
      </c>
      <c r="C3" t="s">
        <v>3</v>
      </c>
      <c r="D3" t="s">
        <v>11</v>
      </c>
      <c r="F3" s="10">
        <f>F2+0.05</f>
        <v>0.1</v>
      </c>
      <c r="G3" s="5">
        <f t="shared" si="0"/>
        <v>0.99999121637351818</v>
      </c>
      <c r="H3" s="9">
        <v>60.779770534151055</v>
      </c>
      <c r="I3" s="6">
        <f t="shared" si="1"/>
        <v>0.57886730562780231</v>
      </c>
      <c r="J3" s="9">
        <f t="shared" si="2"/>
        <v>67.220229465848945</v>
      </c>
      <c r="K3" s="6">
        <f t="shared" si="3"/>
        <v>0.60464301945999244</v>
      </c>
      <c r="L3" s="6">
        <f t="shared" si="4"/>
        <v>0.89597663744959977</v>
      </c>
      <c r="M3" s="6">
        <f t="shared" ref="M3:M19" si="6">I3*L3</f>
        <v>0.51865158202590811</v>
      </c>
      <c r="N3" s="6">
        <f t="shared" si="5"/>
        <v>0.74093083146558303</v>
      </c>
    </row>
    <row r="4" spans="1:14">
      <c r="A4" s="1" t="s">
        <v>13</v>
      </c>
      <c r="B4" s="12" t="s">
        <v>12</v>
      </c>
      <c r="C4" s="12"/>
      <c r="D4" s="12"/>
      <c r="F4" s="10">
        <f t="shared" ref="F4:F19" si="7">F3+0.05</f>
        <v>0.15000000000000002</v>
      </c>
      <c r="G4" s="5">
        <f t="shared" si="0"/>
        <v>0.99999276308776763</v>
      </c>
      <c r="H4" s="9">
        <v>49.903658033050419</v>
      </c>
      <c r="I4" s="6">
        <f t="shared" si="1"/>
        <v>0.69086054425262411</v>
      </c>
      <c r="J4" s="9">
        <f t="shared" si="2"/>
        <v>78.096341966949581</v>
      </c>
      <c r="K4" s="6">
        <f t="shared" si="3"/>
        <v>0.57876955307225497</v>
      </c>
      <c r="L4" s="6">
        <f t="shared" si="4"/>
        <v>0.90055321672069844</v>
      </c>
      <c r="M4" s="6">
        <f t="shared" si="6"/>
        <v>0.62215668543211311</v>
      </c>
      <c r="N4" s="6">
        <f t="shared" si="5"/>
        <v>0.88879526490301874</v>
      </c>
    </row>
    <row r="5" spans="1:14">
      <c r="F5" s="10">
        <f t="shared" si="7"/>
        <v>0.2</v>
      </c>
      <c r="G5" s="5">
        <f t="shared" si="0"/>
        <v>0.99999386050044303</v>
      </c>
      <c r="H5" s="9">
        <v>47.088609594403103</v>
      </c>
      <c r="I5" s="6">
        <f t="shared" si="1"/>
        <v>0.74375781213727632</v>
      </c>
      <c r="J5" s="9">
        <f t="shared" si="2"/>
        <v>80.911390405596904</v>
      </c>
      <c r="K5" s="6">
        <f t="shared" si="3"/>
        <v>0.50870213424018251</v>
      </c>
      <c r="L5" s="6">
        <f t="shared" si="4"/>
        <v>0.94148584724470563</v>
      </c>
      <c r="M5" s="6">
        <f t="shared" si="6"/>
        <v>0.70023745390493219</v>
      </c>
      <c r="N5" s="6">
        <f t="shared" si="5"/>
        <v>1.0003392198641889</v>
      </c>
    </row>
    <row r="6" spans="1:14">
      <c r="A6" s="11" t="s">
        <v>16</v>
      </c>
      <c r="B6" s="11"/>
      <c r="C6" s="11"/>
      <c r="D6" t="s">
        <v>9</v>
      </c>
      <c r="F6" s="10">
        <f t="shared" si="7"/>
        <v>0.25</v>
      </c>
      <c r="G6" s="5">
        <f t="shared" si="0"/>
        <v>0.99999471172067433</v>
      </c>
      <c r="H6" s="9">
        <v>2.8185347963328917</v>
      </c>
      <c r="I6" s="6">
        <f t="shared" si="1"/>
        <v>0.9848529242527696</v>
      </c>
      <c r="J6" s="9">
        <f t="shared" si="2"/>
        <v>125.1814652036671</v>
      </c>
      <c r="K6" s="6">
        <f t="shared" si="3"/>
        <v>0.67790357681585423</v>
      </c>
      <c r="L6" s="6">
        <f t="shared" si="4"/>
        <v>0.71085402832573885</v>
      </c>
      <c r="M6" s="6">
        <f t="shared" si="6"/>
        <v>0.70008666851346502</v>
      </c>
      <c r="N6" s="6">
        <f t="shared" si="5"/>
        <v>1.000123812162093</v>
      </c>
    </row>
    <row r="7" spans="1:14">
      <c r="A7" s="1" t="s">
        <v>15</v>
      </c>
      <c r="B7" s="2">
        <v>128</v>
      </c>
      <c r="C7" t="s">
        <v>3</v>
      </c>
      <c r="F7" s="10">
        <f t="shared" si="7"/>
        <v>0.3</v>
      </c>
      <c r="G7" s="5">
        <f t="shared" si="0"/>
        <v>0.99999540721878233</v>
      </c>
      <c r="H7" s="9">
        <v>75.563526290888049</v>
      </c>
      <c r="I7" s="6">
        <f t="shared" si="1"/>
        <v>0.70090937336105752</v>
      </c>
      <c r="J7" s="9">
        <f t="shared" si="2"/>
        <v>52.436473709111951</v>
      </c>
      <c r="K7" s="6">
        <f t="shared" si="3"/>
        <v>0.2466275247347417</v>
      </c>
      <c r="L7" s="6">
        <f t="shared" si="4"/>
        <v>0.99870148378944001</v>
      </c>
      <c r="M7" s="6">
        <f t="shared" si="6"/>
        <v>0.69999923117761476</v>
      </c>
      <c r="N7" s="6">
        <f t="shared" si="5"/>
        <v>0.99999890168230687</v>
      </c>
    </row>
    <row r="8" spans="1:14">
      <c r="A8" s="1" t="s">
        <v>17</v>
      </c>
      <c r="B8" s="2">
        <v>0.7</v>
      </c>
      <c r="F8" s="10">
        <f t="shared" si="7"/>
        <v>0.35</v>
      </c>
      <c r="G8" s="5">
        <f t="shared" si="0"/>
        <v>0.99999599525443128</v>
      </c>
      <c r="H8" s="9">
        <v>86.95009387309905</v>
      </c>
      <c r="I8" s="6">
        <f t="shared" si="1"/>
        <v>0.70007288410828639</v>
      </c>
      <c r="J8" s="9">
        <f t="shared" si="2"/>
        <v>41.04990612690095</v>
      </c>
      <c r="K8" s="6">
        <f t="shared" si="3"/>
        <v>0.16835591495213764</v>
      </c>
      <c r="L8" s="6">
        <f t="shared" si="4"/>
        <v>0.99983912397946706</v>
      </c>
      <c r="M8" s="6">
        <f t="shared" si="6"/>
        <v>0.69996025916860805</v>
      </c>
      <c r="N8" s="6">
        <f t="shared" si="5"/>
        <v>0.99994322738372587</v>
      </c>
    </row>
    <row r="9" spans="1:14">
      <c r="A9" s="1" t="s">
        <v>18</v>
      </c>
      <c r="B9" s="2" t="s">
        <v>19</v>
      </c>
      <c r="C9" t="s">
        <v>3</v>
      </c>
      <c r="D9" t="s">
        <v>20</v>
      </c>
      <c r="F9" s="10">
        <f t="shared" si="7"/>
        <v>0.39999999999999997</v>
      </c>
      <c r="G9" s="5">
        <f t="shared" si="0"/>
        <v>0.99999650463435941</v>
      </c>
      <c r="H9" s="9">
        <v>99.712906684470724</v>
      </c>
      <c r="I9" s="6">
        <f t="shared" si="1"/>
        <v>0.69984353851553194</v>
      </c>
      <c r="J9" s="9">
        <f t="shared" si="2"/>
        <v>28.287093315529276</v>
      </c>
      <c r="K9" s="6">
        <f t="shared" si="3"/>
        <v>0.10126068512705884</v>
      </c>
      <c r="L9" s="6">
        <f t="shared" si="4"/>
        <v>0.99999077287640947</v>
      </c>
      <c r="M9" s="6">
        <f t="shared" si="6"/>
        <v>0.69983708097270803</v>
      </c>
      <c r="N9" s="6">
        <f t="shared" si="5"/>
        <v>0.99976725853244008</v>
      </c>
    </row>
    <row r="10" spans="1:14">
      <c r="A10" s="1" t="s">
        <v>21</v>
      </c>
      <c r="B10" s="2" t="s">
        <v>19</v>
      </c>
      <c r="C10" t="s">
        <v>3</v>
      </c>
      <c r="D10" t="s">
        <v>22</v>
      </c>
      <c r="F10" s="10">
        <f t="shared" si="7"/>
        <v>0.44999999999999996</v>
      </c>
      <c r="G10" s="5">
        <f t="shared" si="0"/>
        <v>0.99999695393951393</v>
      </c>
      <c r="H10" s="9">
        <v>114.18114282691809</v>
      </c>
      <c r="I10" s="6">
        <f t="shared" si="1"/>
        <v>0.7003672253381874</v>
      </c>
      <c r="J10" s="9">
        <f t="shared" si="2"/>
        <v>13.818857173081909</v>
      </c>
      <c r="K10" s="6">
        <f t="shared" si="3"/>
        <v>4.3115492834615375E-2</v>
      </c>
      <c r="L10" s="6">
        <f t="shared" si="4"/>
        <v>0.99999993379030983</v>
      </c>
      <c r="M10" s="6">
        <f t="shared" si="6"/>
        <v>0.70036717896709044</v>
      </c>
      <c r="N10" s="6">
        <f t="shared" si="5"/>
        <v>1.0005245413815578</v>
      </c>
    </row>
    <row r="11" spans="1:14">
      <c r="A11" s="1" t="s">
        <v>23</v>
      </c>
      <c r="B11" s="2">
        <v>256</v>
      </c>
      <c r="C11" t="s">
        <v>24</v>
      </c>
      <c r="D11" t="s">
        <v>25</v>
      </c>
      <c r="F11" s="10">
        <f t="shared" si="7"/>
        <v>0.49999999999999994</v>
      </c>
      <c r="G11" s="5">
        <f t="shared" si="0"/>
        <v>0.99999735585684135</v>
      </c>
      <c r="H11" s="9">
        <v>128</v>
      </c>
      <c r="I11" s="6">
        <f t="shared" si="1"/>
        <v>0.70710678118463299</v>
      </c>
      <c r="J11" s="9">
        <f t="shared" si="2"/>
        <v>0</v>
      </c>
      <c r="K11" s="6">
        <f t="shared" si="3"/>
        <v>1.0576572634590775E-5</v>
      </c>
      <c r="L11" s="6">
        <f t="shared" si="4"/>
        <v>1</v>
      </c>
      <c r="M11" s="6">
        <f t="shared" si="6"/>
        <v>0.70710678118463299</v>
      </c>
      <c r="N11" s="6">
        <f t="shared" si="5"/>
        <v>1.0101525445494757</v>
      </c>
    </row>
    <row r="12" spans="1:14">
      <c r="A12" s="1" t="s">
        <v>26</v>
      </c>
      <c r="B12" s="2" t="s">
        <v>19</v>
      </c>
      <c r="C12" t="s">
        <v>24</v>
      </c>
      <c r="D12" t="s">
        <v>27</v>
      </c>
      <c r="F12" s="10">
        <f t="shared" si="7"/>
        <v>0.54999999999999993</v>
      </c>
      <c r="G12" s="5">
        <f t="shared" si="0"/>
        <v>0.99999771943542837</v>
      </c>
      <c r="H12" s="9">
        <v>127.99999999999999</v>
      </c>
      <c r="I12" s="6">
        <f t="shared" si="1"/>
        <v>0.74161984870783437</v>
      </c>
      <c r="J12" s="9">
        <f t="shared" si="2"/>
        <v>0</v>
      </c>
      <c r="K12" s="6">
        <f t="shared" si="3"/>
        <v>9.1222582865645352E-6</v>
      </c>
      <c r="L12" s="6">
        <f t="shared" si="4"/>
        <v>1</v>
      </c>
      <c r="M12" s="6">
        <f t="shared" si="6"/>
        <v>0.74161984870783437</v>
      </c>
      <c r="N12" s="6">
        <f t="shared" si="5"/>
        <v>1.0594569267254776</v>
      </c>
    </row>
    <row r="13" spans="1:14">
      <c r="A13" s="1" t="s">
        <v>28</v>
      </c>
      <c r="B13" s="2">
        <v>4</v>
      </c>
      <c r="C13" t="s">
        <v>29</v>
      </c>
      <c r="D13" t="s">
        <v>30</v>
      </c>
      <c r="F13" s="10">
        <f t="shared" si="7"/>
        <v>0.6</v>
      </c>
      <c r="G13" s="5">
        <f t="shared" si="0"/>
        <v>0.99999805135678843</v>
      </c>
      <c r="H13" s="9">
        <v>128</v>
      </c>
      <c r="I13" s="6">
        <f t="shared" si="1"/>
        <v>0.77459666923993775</v>
      </c>
      <c r="J13" s="9">
        <f t="shared" si="2"/>
        <v>0</v>
      </c>
      <c r="K13" s="6">
        <f t="shared" si="3"/>
        <v>7.7945728462758268E-6</v>
      </c>
      <c r="L13" s="6">
        <f t="shared" si="4"/>
        <v>1</v>
      </c>
      <c r="M13" s="6">
        <f t="shared" si="6"/>
        <v>0.77459666923993775</v>
      </c>
      <c r="N13" s="6">
        <f t="shared" si="5"/>
        <v>1.1065666703427683</v>
      </c>
    </row>
    <row r="14" spans="1:14">
      <c r="A14" s="1" t="s">
        <v>31</v>
      </c>
      <c r="B14" s="2">
        <v>1024</v>
      </c>
      <c r="C14" t="s">
        <v>32</v>
      </c>
      <c r="D14" t="s">
        <v>33</v>
      </c>
      <c r="F14" s="10">
        <f t="shared" si="7"/>
        <v>0.65</v>
      </c>
      <c r="G14" s="5">
        <f t="shared" si="0"/>
        <v>0.99999835669493808</v>
      </c>
      <c r="H14" s="9">
        <v>128</v>
      </c>
      <c r="I14" s="6">
        <f t="shared" si="1"/>
        <v>0.80622577482849833</v>
      </c>
      <c r="J14" s="9">
        <f t="shared" si="2"/>
        <v>0</v>
      </c>
      <c r="K14" s="6">
        <f t="shared" si="3"/>
        <v>6.5732202476631585E-6</v>
      </c>
      <c r="L14" s="6">
        <f t="shared" si="4"/>
        <v>1</v>
      </c>
      <c r="M14" s="6">
        <f t="shared" si="6"/>
        <v>0.80622577482849833</v>
      </c>
      <c r="N14" s="6">
        <f t="shared" si="5"/>
        <v>1.1517511068978548</v>
      </c>
    </row>
    <row r="15" spans="1:14">
      <c r="F15" s="10">
        <f t="shared" si="7"/>
        <v>0.70000000000000007</v>
      </c>
      <c r="G15" s="5">
        <f t="shared" si="0"/>
        <v>0.99999863939399225</v>
      </c>
      <c r="H15" s="9">
        <v>128</v>
      </c>
      <c r="I15" s="6">
        <f t="shared" si="1"/>
        <v>0.83666002653290994</v>
      </c>
      <c r="J15" s="9">
        <f t="shared" si="2"/>
        <v>0</v>
      </c>
      <c r="K15" s="6">
        <f t="shared" si="3"/>
        <v>5.442424030999149E-6</v>
      </c>
      <c r="L15" s="6">
        <f t="shared" si="4"/>
        <v>1</v>
      </c>
      <c r="M15" s="6">
        <f t="shared" si="6"/>
        <v>0.83666002653290994</v>
      </c>
      <c r="N15" s="6">
        <f t="shared" si="5"/>
        <v>1.1952286093327285</v>
      </c>
    </row>
    <row r="16" spans="1:14">
      <c r="F16" s="10">
        <f t="shared" si="7"/>
        <v>0.75000000000000011</v>
      </c>
      <c r="G16" s="5">
        <f t="shared" si="0"/>
        <v>0.99999890258058699</v>
      </c>
      <c r="H16" s="9">
        <v>127.99999999999999</v>
      </c>
      <c r="I16" s="6">
        <f t="shared" si="1"/>
        <v>0.86602540378346549</v>
      </c>
      <c r="J16" s="9">
        <f t="shared" si="2"/>
        <v>0</v>
      </c>
      <c r="K16" s="6">
        <f t="shared" si="3"/>
        <v>4.3896776520550956E-6</v>
      </c>
      <c r="L16" s="6">
        <f t="shared" si="4"/>
        <v>1</v>
      </c>
      <c r="M16" s="6">
        <f t="shared" si="6"/>
        <v>0.86602540378346549</v>
      </c>
      <c r="N16" s="6">
        <f t="shared" si="5"/>
        <v>1.2371791482620935</v>
      </c>
    </row>
    <row r="17" spans="6:14">
      <c r="F17" s="10">
        <f t="shared" si="7"/>
        <v>0.80000000000000016</v>
      </c>
      <c r="G17" s="5">
        <f t="shared" si="0"/>
        <v>0.9999991487752673</v>
      </c>
      <c r="H17" s="9">
        <v>128</v>
      </c>
      <c r="I17" s="6">
        <f t="shared" si="1"/>
        <v>0.89442719099913637</v>
      </c>
      <c r="J17" s="9">
        <f t="shared" si="2"/>
        <v>0</v>
      </c>
      <c r="K17" s="6">
        <f t="shared" si="3"/>
        <v>3.4048989308033129E-6</v>
      </c>
      <c r="L17" s="6">
        <f t="shared" si="4"/>
        <v>1</v>
      </c>
      <c r="M17" s="6">
        <f t="shared" si="6"/>
        <v>0.89442719099913637</v>
      </c>
      <c r="N17" s="6">
        <f t="shared" si="5"/>
        <v>1.2777531299987663</v>
      </c>
    </row>
    <row r="18" spans="6:14">
      <c r="F18" s="10">
        <f t="shared" si="7"/>
        <v>0.8500000000000002</v>
      </c>
      <c r="G18" s="5">
        <f t="shared" si="0"/>
        <v>0.99999938003967626</v>
      </c>
      <c r="H18" s="9">
        <v>128</v>
      </c>
      <c r="I18" s="6">
        <f t="shared" si="1"/>
        <v>0.92195444572870355</v>
      </c>
      <c r="J18" s="9">
        <f t="shared" si="2"/>
        <v>0</v>
      </c>
      <c r="K18" s="6">
        <f t="shared" si="3"/>
        <v>2.4798412949778026E-6</v>
      </c>
      <c r="L18" s="6">
        <f t="shared" si="4"/>
        <v>1</v>
      </c>
      <c r="M18" s="6">
        <f t="shared" si="6"/>
        <v>0.92195444572870355</v>
      </c>
      <c r="N18" s="6">
        <f t="shared" si="5"/>
        <v>1.3170777796124338</v>
      </c>
    </row>
    <row r="19" spans="6:14">
      <c r="F19" s="10">
        <f t="shared" si="7"/>
        <v>0.90000000000000024</v>
      </c>
      <c r="G19" s="5">
        <f t="shared" si="0"/>
        <v>0.99999959808160976</v>
      </c>
      <c r="H19" s="9">
        <v>128</v>
      </c>
      <c r="I19" s="6">
        <f t="shared" si="1"/>
        <v>0.94868329805012352</v>
      </c>
      <c r="J19" s="9">
        <f t="shared" si="2"/>
        <v>0</v>
      </c>
      <c r="K19" s="6">
        <f t="shared" si="3"/>
        <v>1.6076735609438231E-6</v>
      </c>
      <c r="L19" s="6">
        <f t="shared" si="4"/>
        <v>1</v>
      </c>
      <c r="M19" s="6">
        <f t="shared" si="6"/>
        <v>0.94868329805012352</v>
      </c>
      <c r="N19" s="6">
        <f t="shared" si="5"/>
        <v>1.3552618543573194</v>
      </c>
    </row>
    <row r="20" spans="6:14">
      <c r="F20" s="10">
        <f t="shared" ref="F20" si="8">F19+0.05</f>
        <v>0.95000000000000029</v>
      </c>
      <c r="G20" s="5">
        <f t="shared" ref="G20" si="9">F20^(_l/(_m*1024^2))</f>
        <v>0.99999980433162927</v>
      </c>
      <c r="H20" s="9">
        <v>128</v>
      </c>
      <c r="I20" s="6">
        <f t="shared" si="1"/>
        <v>0.97467943448070127</v>
      </c>
      <c r="J20" s="9">
        <f t="shared" si="2"/>
        <v>0</v>
      </c>
      <c r="K20" s="6">
        <f t="shared" si="3"/>
        <v>7.8267348291305439E-7</v>
      </c>
      <c r="L20" s="6">
        <f t="shared" ref="L20" si="10">POISSON(_r,K20,1)^(J20/_b*1024)</f>
        <v>1</v>
      </c>
      <c r="M20" s="6">
        <f t="shared" ref="M20" si="11">I20*L20</f>
        <v>0.97467943448070127</v>
      </c>
      <c r="N20" s="6">
        <f t="shared" ref="N20" si="12">M20/eSRAM_yield</f>
        <v>1.3923991921152876</v>
      </c>
    </row>
  </sheetData>
  <mergeCells count="3">
    <mergeCell ref="A2:C2"/>
    <mergeCell ref="B4:D4"/>
    <mergeCell ref="A6:C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9</vt:i4>
      </vt:variant>
    </vt:vector>
  </HeadingPairs>
  <TitlesOfParts>
    <vt:vector size="11" baseType="lpstr">
      <vt:lpstr>Sheet1</vt:lpstr>
      <vt:lpstr>Sheet2</vt:lpstr>
      <vt:lpstr>_b</vt:lpstr>
      <vt:lpstr>_l</vt:lpstr>
      <vt:lpstr>_m</vt:lpstr>
      <vt:lpstr>_r</vt:lpstr>
      <vt:lpstr>eSRAM_size</vt:lpstr>
      <vt:lpstr>eSRAM_yield</vt:lpstr>
      <vt:lpstr>FBU</vt:lpstr>
      <vt:lpstr>FXM</vt:lpstr>
      <vt:lpstr>RPF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</dc:creator>
  <cp:lastModifiedBy>Y</cp:lastModifiedBy>
  <dcterms:created xsi:type="dcterms:W3CDTF">2015-04-19T13:34:50Z</dcterms:created>
  <dcterms:modified xsi:type="dcterms:W3CDTF">2015-04-24T14:43:45Z</dcterms:modified>
</cp:coreProperties>
</file>