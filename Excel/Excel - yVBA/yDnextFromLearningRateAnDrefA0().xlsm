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B30410F-F142-6C75-8FE4-BCCB68B043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늑대\Homo academicus\yStudy on code - Excel\"/>
    </mc:Choice>
  </mc:AlternateContent>
  <bookViews>
    <workbookView xWindow="-1095" yWindow="90" windowWidth="17175" windowHeight="7740"/>
  </bookViews>
  <sheets>
    <sheet name="yDnextFromLearningRateAnDrefA0" sheetId="6" r:id="rId1"/>
  </sheets>
  <functionGroups builtInGroupCount="18">
    <functionGroup name="Y"/>
  </functionGroups>
  <calcPr calcId="162913"/>
  <extLst>
    <ext xmlns:x14="http://schemas.microsoft.com/office/spreadsheetml/2009/9/main" uri="{8193D73E-4604-4355-AFF4-8A2333D13BE4}">
      <x14:definedNames>
        <x14:definedName name="yProbExclusive">
          <x14:argumentDescriptions count="2">
            <x14:argumentDescription index="0">Probability of self</x14:argumentDescription>
            <x14:argumentDescription index="1">Probability of others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F7" i="6" l="1"/>
  <c r="G7" i="6"/>
  <c r="H7" i="6"/>
  <c r="F8" i="6"/>
  <c r="G8" i="6"/>
  <c r="H8" i="6"/>
  <c r="F9" i="6"/>
  <c r="G9" i="6"/>
  <c r="H9" i="6"/>
  <c r="F10" i="6"/>
  <c r="G10" i="6"/>
  <c r="H10" i="6"/>
  <c r="F11" i="6"/>
  <c r="G11" i="6"/>
  <c r="H11" i="6"/>
  <c r="F12" i="6"/>
  <c r="G12" i="6"/>
  <c r="H12" i="6"/>
  <c r="F13" i="6"/>
  <c r="G13" i="6"/>
  <c r="H13" i="6"/>
  <c r="F14" i="6"/>
  <c r="G14" i="6"/>
  <c r="H14" i="6"/>
  <c r="F15" i="6"/>
  <c r="G15" i="6"/>
  <c r="H15" i="6"/>
  <c r="F16" i="6"/>
  <c r="G16" i="6"/>
  <c r="H16" i="6"/>
  <c r="F17" i="6"/>
  <c r="G17" i="6"/>
  <c r="H17" i="6"/>
  <c r="F18" i="6"/>
  <c r="G18" i="6"/>
  <c r="H18" i="6"/>
  <c r="F19" i="6"/>
  <c r="G19" i="6"/>
  <c r="H19" i="6"/>
  <c r="F20" i="6"/>
  <c r="G20" i="6"/>
  <c r="H20" i="6"/>
  <c r="G6" i="6"/>
  <c r="H6" i="6"/>
  <c r="F6" i="6"/>
  <c r="H5" i="6"/>
  <c r="G5" i="6"/>
  <c r="F5" i="6"/>
  <c r="E5" i="6"/>
  <c r="D5" i="6"/>
  <c r="C5" i="6"/>
  <c r="C21" i="6"/>
  <c r="E22" i="6"/>
  <c r="C23" i="6"/>
  <c r="E24" i="6"/>
  <c r="C25" i="6"/>
  <c r="E26" i="6"/>
  <c r="C27" i="6"/>
  <c r="C22" i="6"/>
  <c r="E23" i="6"/>
  <c r="C26" i="6"/>
  <c r="E27" i="6"/>
  <c r="D22" i="6"/>
  <c r="D26" i="6"/>
  <c r="D21" i="6"/>
  <c r="D23" i="6"/>
  <c r="D25" i="6"/>
  <c r="D27" i="6"/>
  <c r="E21" i="6"/>
  <c r="C24" i="6"/>
  <c r="E25" i="6"/>
  <c r="D24" i="6"/>
  <c r="D6" i="6"/>
  <c r="D8" i="6"/>
  <c r="D10" i="6"/>
  <c r="D12" i="6"/>
  <c r="D14" i="6"/>
  <c r="D16" i="6"/>
  <c r="D18" i="6"/>
  <c r="D9" i="6"/>
  <c r="D15" i="6"/>
  <c r="E6" i="6"/>
  <c r="E8" i="6"/>
  <c r="E10" i="6"/>
  <c r="E12" i="6"/>
  <c r="E14" i="6"/>
  <c r="E16" i="6"/>
  <c r="E18" i="6"/>
  <c r="E20" i="6"/>
  <c r="D7" i="6"/>
  <c r="D13" i="6"/>
  <c r="D19" i="6"/>
  <c r="E7" i="6"/>
  <c r="E9" i="6"/>
  <c r="E11" i="6"/>
  <c r="E13" i="6"/>
  <c r="E15" i="6"/>
  <c r="E17" i="6"/>
  <c r="E19" i="6"/>
  <c r="D20" i="6"/>
  <c r="D11" i="6"/>
  <c r="D17" i="6"/>
  <c r="C8" i="6"/>
  <c r="C12" i="6"/>
  <c r="C16" i="6"/>
  <c r="C20" i="6"/>
  <c r="C9" i="6"/>
  <c r="C13" i="6"/>
  <c r="C17" i="6"/>
  <c r="C10" i="6"/>
  <c r="C14" i="6"/>
  <c r="C18" i="6"/>
  <c r="C7" i="6"/>
  <c r="C11" i="6"/>
  <c r="C15" i="6"/>
  <c r="C19" i="6"/>
  <c r="C6" i="6"/>
  <c r="G24" i="6" l="1"/>
  <c r="H25" i="6"/>
  <c r="F24" i="6"/>
  <c r="H21" i="6"/>
  <c r="G27" i="6"/>
  <c r="G25" i="6"/>
  <c r="G23" i="6"/>
  <c r="G21" i="6"/>
  <c r="G26" i="6"/>
  <c r="G22" i="6"/>
  <c r="H27" i="6"/>
  <c r="F26" i="6"/>
  <c r="H23" i="6"/>
  <c r="F22" i="6"/>
  <c r="F27" i="6"/>
  <c r="H26" i="6"/>
  <c r="F25" i="6"/>
  <c r="H24" i="6"/>
  <c r="F23" i="6"/>
  <c r="H22" i="6"/>
  <c r="F21" i="6"/>
</calcChain>
</file>

<file path=xl/sharedStrings.xml><?xml version="1.0" encoding="utf-8"?>
<sst xmlns="http://schemas.openxmlformats.org/spreadsheetml/2006/main" count="8" uniqueCount="8">
  <si>
    <t>IndexB0</t>
    <phoneticPr fontId="1" type="noConversion"/>
  </si>
  <si>
    <t>DrefA0</t>
    <phoneticPr fontId="1" type="noConversion"/>
  </si>
  <si>
    <t>Df</t>
    <phoneticPr fontId="1" type="noConversion"/>
  </si>
  <si>
    <t>LR</t>
    <phoneticPr fontId="1" type="noConversion"/>
  </si>
  <si>
    <t>MP</t>
    <phoneticPr fontId="1" type="noConversion"/>
  </si>
  <si>
    <t>Horse</t>
    <phoneticPr fontId="1" type="noConversion"/>
  </si>
  <si>
    <t>Goat</t>
    <phoneticPr fontId="1" type="noConversion"/>
  </si>
  <si>
    <t>Monkey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</si>
</sst>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.00_ "/>
    <numFmt numFmtId="177" formatCode="0.0_ "/>
    <numFmt numFmtId="178" formatCode="0.0%"/>
    <numFmt numFmtId="179" formatCode="0_ "/>
    <numFmt numFmtId="182" formatCode="0.0E+00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17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176" fontId="0" fillId="0" borderId="0" xfId="0" applyNumberFormat="1" applyAlignment="1">
      <alignment horizontal="left" vertical="center"/>
    </xf>
    <xf numFmtId="178" fontId="0" fillId="0" borderId="0" xfId="1" applyNumberFormat="1" applyFon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182" fontId="0" fillId="0" borderId="0" xfId="0" applyNumberFormat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561388888888888"/>
          <c:y val="4.1482004678932698E-2"/>
          <c:w val="0.63079583333333333"/>
          <c:h val="0.71103556066225748"/>
        </c:manualLayout>
      </c:layout>
      <c:scatterChart>
        <c:scatterStyle val="lineMarker"/>
        <c:varyColors val="0"/>
        <c:ser>
          <c:idx val="3"/>
          <c:order val="3"/>
          <c:tx>
            <c:strRef>
              <c:f>yDnextFromLearningRateAnDrefA0!$F$5</c:f>
              <c:strCache>
                <c:ptCount val="1"/>
                <c:pt idx="0">
                  <c:v>Y(Horse)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yDnextFromLearningRateAnDrefA0!$B$6:$B$27</c:f>
              <c:numCache>
                <c:formatCode>0_ </c:formatCode>
                <c:ptCount val="22"/>
                <c:pt idx="0">
                  <c:v>-9</c:v>
                </c:pt>
                <c:pt idx="1">
                  <c:v>-8</c:v>
                </c:pt>
                <c:pt idx="2">
                  <c:v>-7</c:v>
                </c:pt>
                <c:pt idx="3">
                  <c:v>-6</c:v>
                </c:pt>
                <c:pt idx="4">
                  <c:v>-5</c:v>
                </c:pt>
                <c:pt idx="5">
                  <c:v>-4</c:v>
                </c:pt>
                <c:pt idx="6">
                  <c:v>-3</c:v>
                </c:pt>
                <c:pt idx="7">
                  <c:v>-2</c:v>
                </c:pt>
                <c:pt idx="8">
                  <c:v>-1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9</c:v>
                </c:pt>
                <c:pt idx="19">
                  <c:v>10</c:v>
                </c:pt>
                <c:pt idx="20">
                  <c:v>11</c:v>
                </c:pt>
                <c:pt idx="21">
                  <c:v>12</c:v>
                </c:pt>
              </c:numCache>
            </c:numRef>
          </c:xVal>
          <c:yVal>
            <c:numRef>
              <c:f>yDnextFromLearningRateAnDrefA0!$F$6:$F$27</c:f>
              <c:numCache>
                <c:formatCode>0.0E+00</c:formatCode>
                <c:ptCount val="22"/>
                <c:pt idx="0">
                  <c:v>5.1681324826184371E-33</c:v>
                </c:pt>
                <c:pt idx="1">
                  <c:v>2.5080347331895249E-23</c:v>
                </c:pt>
                <c:pt idx="2">
                  <c:v>1.5119362600910928E-16</c:v>
                </c:pt>
                <c:pt idx="3">
                  <c:v>8.4270086140505954E-12</c:v>
                </c:pt>
                <c:pt idx="4">
                  <c:v>1.7699924200036864E-8</c:v>
                </c:pt>
                <c:pt idx="5">
                  <c:v>3.7461053316611858E-6</c:v>
                </c:pt>
                <c:pt idx="6">
                  <c:v>1.5903986162330242E-4</c:v>
                </c:pt>
                <c:pt idx="7">
                  <c:v>2.1930785764980127E-3</c:v>
                </c:pt>
                <c:pt idx="8">
                  <c:v>1.3763786733050402E-2</c:v>
                </c:pt>
                <c:pt idx="9">
                  <c:v>4.9787068367863944E-2</c:v>
                </c:pt>
                <c:pt idx="10">
                  <c:v>0.12245642825298195</c:v>
                </c:pt>
                <c:pt idx="11">
                  <c:v>0.2299254851867239</c:v>
                </c:pt>
                <c:pt idx="12">
                  <c:v>0.35736414609271294</c:v>
                </c:pt>
                <c:pt idx="13">
                  <c:v>0.4866062521848451</c:v>
                </c:pt>
                <c:pt idx="14">
                  <c:v>0.60398253320514461</c:v>
                </c:pt>
                <c:pt idx="15">
                  <c:v>0.70261443095527776</c:v>
                </c:pt>
                <c:pt idx="16">
                  <c:v>0.78109156132697743</c:v>
                </c:pt>
                <c:pt idx="17">
                  <c:v>0.84118469463444179</c:v>
                </c:pt>
                <c:pt idx="18">
                  <c:v>0.88598007176019178</c:v>
                </c:pt>
                <c:pt idx="19">
                  <c:v>0.9187487631383221</c:v>
                </c:pt>
                <c:pt idx="20">
                  <c:v>0.94240533757534894</c:v>
                </c:pt>
                <c:pt idx="21">
                  <c:v>0.95932644400160727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0F8-4CCB-9149-5B25BC736FA7}"/>
            </c:ext>
          </c:extLst>
        </c:ser>
        <c:ser>
          <c:idx val="4"/>
          <c:order val="4"/>
          <c:tx>
            <c:strRef>
              <c:f>yDnextFromLearningRateAnDrefA0!$G$5</c:f>
              <c:strCache>
                <c:ptCount val="1"/>
                <c:pt idx="0">
                  <c:v>Y(Goat)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yDnextFromLearningRateAnDrefA0!$B$6:$B$27</c:f>
              <c:numCache>
                <c:formatCode>0_ </c:formatCode>
                <c:ptCount val="22"/>
                <c:pt idx="0">
                  <c:v>-9</c:v>
                </c:pt>
                <c:pt idx="1">
                  <c:v>-8</c:v>
                </c:pt>
                <c:pt idx="2">
                  <c:v>-7</c:v>
                </c:pt>
                <c:pt idx="3">
                  <c:v>-6</c:v>
                </c:pt>
                <c:pt idx="4">
                  <c:v>-5</c:v>
                </c:pt>
                <c:pt idx="5">
                  <c:v>-4</c:v>
                </c:pt>
                <c:pt idx="6">
                  <c:v>-3</c:v>
                </c:pt>
                <c:pt idx="7">
                  <c:v>-2</c:v>
                </c:pt>
                <c:pt idx="8">
                  <c:v>-1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9</c:v>
                </c:pt>
                <c:pt idx="19">
                  <c:v>10</c:v>
                </c:pt>
                <c:pt idx="20">
                  <c:v>11</c:v>
                </c:pt>
                <c:pt idx="21">
                  <c:v>12</c:v>
                </c:pt>
              </c:numCache>
            </c:numRef>
          </c:xVal>
          <c:yVal>
            <c:numRef>
              <c:f>yDnextFromLearningRateAnDrefA0!$G$6:$G$27</c:f>
              <c:numCache>
                <c:formatCode>0.0E+00</c:formatCode>
                <c:ptCount val="22"/>
                <c:pt idx="0">
                  <c:v>4.617906713577226E-76</c:v>
                </c:pt>
                <c:pt idx="1">
                  <c:v>1.8412451201202444E-53</c:v>
                </c:pt>
                <c:pt idx="2">
                  <c:v>1.2178060469356851E-37</c:v>
                </c:pt>
                <c:pt idx="3">
                  <c:v>1.4451225846680812E-26</c:v>
                </c:pt>
                <c:pt idx="4">
                  <c:v>8.1645693412917355E-19</c:v>
                </c:pt>
                <c:pt idx="5">
                  <c:v>2.1794820536109232E-13</c:v>
                </c:pt>
                <c:pt idx="6">
                  <c:v>1.3703998679105935E-9</c:v>
                </c:pt>
                <c:pt idx="7">
                  <c:v>6.2487495094630851E-7</c:v>
                </c:pt>
                <c:pt idx="8">
                  <c:v>4.5399929762484854E-5</c:v>
                </c:pt>
                <c:pt idx="9">
                  <c:v>9.1188196555451624E-4</c:v>
                </c:pt>
                <c:pt idx="10">
                  <c:v>7.4465830709243442E-3</c:v>
                </c:pt>
                <c:pt idx="11">
                  <c:v>3.2386940772907068E-2</c:v>
                </c:pt>
                <c:pt idx="12">
                  <c:v>9.0627280679983921E-2</c:v>
                </c:pt>
                <c:pt idx="13">
                  <c:v>0.1862435599071541</c:v>
                </c:pt>
                <c:pt idx="14">
                  <c:v>0.30835918204259705</c:v>
                </c:pt>
                <c:pt idx="15">
                  <c:v>0.43887396622832037</c:v>
                </c:pt>
                <c:pt idx="16">
                  <c:v>0.56187262538431226</c:v>
                </c:pt>
                <c:pt idx="17">
                  <c:v>0.66795393326609254</c:v>
                </c:pt>
                <c:pt idx="18">
                  <c:v>0.75391530188603118</c:v>
                </c:pt>
                <c:pt idx="19">
                  <c:v>0.82058918839874995</c:v>
                </c:pt>
                <c:pt idx="20">
                  <c:v>0.87073911371298951</c:v>
                </c:pt>
                <c:pt idx="21">
                  <c:v>0.90765674099517546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0F8-4CCB-9149-5B25BC736FA7}"/>
            </c:ext>
          </c:extLst>
        </c:ser>
        <c:ser>
          <c:idx val="5"/>
          <c:order val="5"/>
          <c:tx>
            <c:strRef>
              <c:f>yDnextFromLearningRateAnDrefA0!$H$5</c:f>
              <c:strCache>
                <c:ptCount val="1"/>
                <c:pt idx="0">
                  <c:v>Y(Monkey)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yDnextFromLearningRateAnDrefA0!$B$6:$B$27</c:f>
              <c:numCache>
                <c:formatCode>0_ </c:formatCode>
                <c:ptCount val="22"/>
                <c:pt idx="0">
                  <c:v>-9</c:v>
                </c:pt>
                <c:pt idx="1">
                  <c:v>-8</c:v>
                </c:pt>
                <c:pt idx="2">
                  <c:v>-7</c:v>
                </c:pt>
                <c:pt idx="3">
                  <c:v>-6</c:v>
                </c:pt>
                <c:pt idx="4">
                  <c:v>-5</c:v>
                </c:pt>
                <c:pt idx="5">
                  <c:v>-4</c:v>
                </c:pt>
                <c:pt idx="6">
                  <c:v>-3</c:v>
                </c:pt>
                <c:pt idx="7">
                  <c:v>-2</c:v>
                </c:pt>
                <c:pt idx="8">
                  <c:v>-1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9</c:v>
                </c:pt>
                <c:pt idx="19">
                  <c:v>10</c:v>
                </c:pt>
                <c:pt idx="20">
                  <c:v>11</c:v>
                </c:pt>
                <c:pt idx="21">
                  <c:v>12</c:v>
                </c:pt>
              </c:numCache>
            </c:numRef>
          </c:xVal>
          <c:yVal>
            <c:numRef>
              <c:f>yDnextFromLearningRateAnDrefA0!$H$6:$H$27</c:f>
              <c:numCache>
                <c:formatCode>0.0E+00</c:formatCode>
                <c:ptCount val="22"/>
                <c:pt idx="0">
                  <c:v>4.1262607889838512E-119</c:v>
                </c:pt>
                <c:pt idx="1">
                  <c:v>1.3517291238049514E-83</c:v>
                </c:pt>
                <c:pt idx="2">
                  <c:v>9.808955622664793E-59</c:v>
                </c:pt>
                <c:pt idx="3">
                  <c:v>2.4781976385258859E-41</c:v>
                </c:pt>
                <c:pt idx="4">
                  <c:v>3.7661287006314642E-29</c:v>
                </c:pt>
                <c:pt idx="5">
                  <c:v>1.2680214786981511E-20</c:v>
                </c:pt>
                <c:pt idx="6">
                  <c:v>1.1808333953518727E-14</c:v>
                </c:pt>
                <c:pt idx="7">
                  <c:v>1.7804592525985304E-10</c:v>
                </c:pt>
                <c:pt idx="8">
                  <c:v>1.497519296407866E-7</c:v>
                </c:pt>
                <c:pt idx="9">
                  <c:v>1.6701700790245659E-5</c:v>
                </c:pt>
                <c:pt idx="10">
                  <c:v>4.5282718288679739E-4</c:v>
                </c:pt>
                <c:pt idx="11">
                  <c:v>4.5619733357350999E-3</c:v>
                </c:pt>
                <c:pt idx="12">
                  <c:v>2.2983010727992182E-2</c:v>
                </c:pt>
                <c:pt idx="13">
                  <c:v>7.1282815317616238E-2</c:v>
                </c:pt>
                <c:pt idx="14">
                  <c:v>0.15743068701902921</c:v>
                </c:pt>
                <c:pt idx="15">
                  <c:v>0.2741337919448979</c:v>
                </c:pt>
                <c:pt idx="16">
                  <c:v>0.40417905247871744</c:v>
                </c:pt>
                <c:pt idx="17">
                  <c:v>0.53039773525543621</c:v>
                </c:pt>
                <c:pt idx="18">
                  <c:v>0.64153619312077614</c:v>
                </c:pt>
                <c:pt idx="19">
                  <c:v>0.7329170314382677</c:v>
                </c:pt>
                <c:pt idx="20">
                  <c:v>0.80452282464822356</c:v>
                </c:pt>
                <c:pt idx="21">
                  <c:v>0.85876998869907384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0F8-4CCB-9149-5B25BC736F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7222720"/>
        <c:axId val="437223048"/>
      </c:scatterChart>
      <c:scatterChart>
        <c:scatterStyle val="lineMarker"/>
        <c:varyColors val="0"/>
        <c:ser>
          <c:idx val="0"/>
          <c:order val="0"/>
          <c:tx>
            <c:strRef>
              <c:f>yDnextFromLearningRateAnDrefA0!$C$5</c:f>
              <c:strCache>
                <c:ptCount val="1"/>
                <c:pt idx="0">
                  <c:v>D(Horse)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yDnextFromLearningRateAnDrefA0!$B$6:$B$27</c:f>
              <c:numCache>
                <c:formatCode>0_ </c:formatCode>
                <c:ptCount val="22"/>
                <c:pt idx="0">
                  <c:v>-9</c:v>
                </c:pt>
                <c:pt idx="1">
                  <c:v>-8</c:v>
                </c:pt>
                <c:pt idx="2">
                  <c:v>-7</c:v>
                </c:pt>
                <c:pt idx="3">
                  <c:v>-6</c:v>
                </c:pt>
                <c:pt idx="4">
                  <c:v>-5</c:v>
                </c:pt>
                <c:pt idx="5">
                  <c:v>-4</c:v>
                </c:pt>
                <c:pt idx="6">
                  <c:v>-3</c:v>
                </c:pt>
                <c:pt idx="7">
                  <c:v>-2</c:v>
                </c:pt>
                <c:pt idx="8">
                  <c:v>-1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9</c:v>
                </c:pt>
                <c:pt idx="19">
                  <c:v>10</c:v>
                </c:pt>
                <c:pt idx="20">
                  <c:v>11</c:v>
                </c:pt>
                <c:pt idx="21">
                  <c:v>12</c:v>
                </c:pt>
              </c:numCache>
            </c:numRef>
          </c:xVal>
          <c:yVal>
            <c:numRef>
              <c:f>yDnextFromLearningRateAnDrefA0!$C$6:$C$27</c:f>
              <c:numCache>
                <c:formatCode>0.0_ </c:formatCode>
                <c:ptCount val="22"/>
                <c:pt idx="0">
                  <c:v>74.342796667470196</c:v>
                </c:pt>
                <c:pt idx="1">
                  <c:v>52.039957667229132</c:v>
                </c:pt>
                <c:pt idx="2">
                  <c:v>36.427970367060389</c:v>
                </c:pt>
                <c:pt idx="3">
                  <c:v>25.499579256942273</c:v>
                </c:pt>
                <c:pt idx="4">
                  <c:v>17.84970547985959</c:v>
                </c:pt>
                <c:pt idx="5">
                  <c:v>12.494793835901712</c:v>
                </c:pt>
                <c:pt idx="6">
                  <c:v>8.7463556851311974</c:v>
                </c:pt>
                <c:pt idx="7">
                  <c:v>6.1224489795918373</c:v>
                </c:pt>
                <c:pt idx="8">
                  <c:v>4.2857142857142856</c:v>
                </c:pt>
                <c:pt idx="9">
                  <c:v>3</c:v>
                </c:pt>
                <c:pt idx="10">
                  <c:v>2.0999999999999996</c:v>
                </c:pt>
                <c:pt idx="11">
                  <c:v>1.4699999999999998</c:v>
                </c:pt>
                <c:pt idx="12">
                  <c:v>1.0289999999999997</c:v>
                </c:pt>
                <c:pt idx="13">
                  <c:v>0.72029999999999972</c:v>
                </c:pt>
                <c:pt idx="14">
                  <c:v>0.50420999999999982</c:v>
                </c:pt>
                <c:pt idx="15">
                  <c:v>0.35294699999999984</c:v>
                </c:pt>
                <c:pt idx="16">
                  <c:v>0.24706289999999986</c:v>
                </c:pt>
                <c:pt idx="17">
                  <c:v>0.17294402999999989</c:v>
                </c:pt>
                <c:pt idx="18">
                  <c:v>0.12106082099999992</c:v>
                </c:pt>
                <c:pt idx="19">
                  <c:v>8.4742574699999934E-2</c:v>
                </c:pt>
                <c:pt idx="20">
                  <c:v>5.9319802289999952E-2</c:v>
                </c:pt>
                <c:pt idx="21">
                  <c:v>4.1523861602999965E-2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F8-4CCB-9149-5B25BC736FA7}"/>
            </c:ext>
          </c:extLst>
        </c:ser>
        <c:ser>
          <c:idx val="1"/>
          <c:order val="1"/>
          <c:tx>
            <c:strRef>
              <c:f>yDnextFromLearningRateAnDrefA0!$D$5</c:f>
              <c:strCache>
                <c:ptCount val="1"/>
                <c:pt idx="0">
                  <c:v>D(Goat)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yDnextFromLearningRateAnDrefA0!$B$6:$B$27</c:f>
              <c:numCache>
                <c:formatCode>0_ </c:formatCode>
                <c:ptCount val="22"/>
                <c:pt idx="0">
                  <c:v>-9</c:v>
                </c:pt>
                <c:pt idx="1">
                  <c:v>-8</c:v>
                </c:pt>
                <c:pt idx="2">
                  <c:v>-7</c:v>
                </c:pt>
                <c:pt idx="3">
                  <c:v>-6</c:v>
                </c:pt>
                <c:pt idx="4">
                  <c:v>-5</c:v>
                </c:pt>
                <c:pt idx="5">
                  <c:v>-4</c:v>
                </c:pt>
                <c:pt idx="6">
                  <c:v>-3</c:v>
                </c:pt>
                <c:pt idx="7">
                  <c:v>-2</c:v>
                </c:pt>
                <c:pt idx="8">
                  <c:v>-1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9</c:v>
                </c:pt>
                <c:pt idx="19">
                  <c:v>10</c:v>
                </c:pt>
                <c:pt idx="20">
                  <c:v>11</c:v>
                </c:pt>
                <c:pt idx="21">
                  <c:v>12</c:v>
                </c:pt>
              </c:numCache>
            </c:numRef>
          </c:xVal>
          <c:yVal>
            <c:numRef>
              <c:f>yDnextFromLearningRateAnDrefA0!$D$6:$D$27</c:f>
              <c:numCache>
                <c:formatCode>0.0_ </c:formatCode>
                <c:ptCount val="22"/>
                <c:pt idx="0">
                  <c:v>173.46652555743046</c:v>
                </c:pt>
                <c:pt idx="1">
                  <c:v>121.42656789020131</c:v>
                </c:pt>
                <c:pt idx="2">
                  <c:v>84.998597523140916</c:v>
                </c:pt>
                <c:pt idx="3">
                  <c:v>59.499018266198632</c:v>
                </c:pt>
                <c:pt idx="4">
                  <c:v>41.649312786339038</c:v>
                </c:pt>
                <c:pt idx="5">
                  <c:v>29.154518950437325</c:v>
                </c:pt>
                <c:pt idx="6">
                  <c:v>20.408163265306126</c:v>
                </c:pt>
                <c:pt idx="7">
                  <c:v>14.285714285714286</c:v>
                </c:pt>
                <c:pt idx="8">
                  <c:v>10</c:v>
                </c:pt>
                <c:pt idx="9">
                  <c:v>7</c:v>
                </c:pt>
                <c:pt idx="10">
                  <c:v>4.8999999999999995</c:v>
                </c:pt>
                <c:pt idx="11">
                  <c:v>3.4299999999999993</c:v>
                </c:pt>
                <c:pt idx="12">
                  <c:v>2.4009999999999994</c:v>
                </c:pt>
                <c:pt idx="13">
                  <c:v>1.6806999999999994</c:v>
                </c:pt>
                <c:pt idx="14">
                  <c:v>1.1764899999999996</c:v>
                </c:pt>
                <c:pt idx="15">
                  <c:v>0.82354299999999969</c:v>
                </c:pt>
                <c:pt idx="16">
                  <c:v>0.57648009999999972</c:v>
                </c:pt>
                <c:pt idx="17">
                  <c:v>0.4035360699999998</c:v>
                </c:pt>
                <c:pt idx="18">
                  <c:v>0.28247524899999982</c:v>
                </c:pt>
                <c:pt idx="19">
                  <c:v>0.19773267429999986</c:v>
                </c:pt>
                <c:pt idx="20">
                  <c:v>0.13841287200999988</c:v>
                </c:pt>
                <c:pt idx="21">
                  <c:v>9.6889010406999918E-2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F8-4CCB-9149-5B25BC736FA7}"/>
            </c:ext>
          </c:extLst>
        </c:ser>
        <c:ser>
          <c:idx val="2"/>
          <c:order val="2"/>
          <c:tx>
            <c:strRef>
              <c:f>yDnextFromLearningRateAnDrefA0!$E$5</c:f>
              <c:strCache>
                <c:ptCount val="1"/>
                <c:pt idx="0">
                  <c:v>D(Monkey)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yDnextFromLearningRateAnDrefA0!$B$6:$B$27</c:f>
              <c:numCache>
                <c:formatCode>0_ </c:formatCode>
                <c:ptCount val="22"/>
                <c:pt idx="0">
                  <c:v>-9</c:v>
                </c:pt>
                <c:pt idx="1">
                  <c:v>-8</c:v>
                </c:pt>
                <c:pt idx="2">
                  <c:v>-7</c:v>
                </c:pt>
                <c:pt idx="3">
                  <c:v>-6</c:v>
                </c:pt>
                <c:pt idx="4">
                  <c:v>-5</c:v>
                </c:pt>
                <c:pt idx="5">
                  <c:v>-4</c:v>
                </c:pt>
                <c:pt idx="6">
                  <c:v>-3</c:v>
                </c:pt>
                <c:pt idx="7">
                  <c:v>-2</c:v>
                </c:pt>
                <c:pt idx="8">
                  <c:v>-1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9</c:v>
                </c:pt>
                <c:pt idx="19">
                  <c:v>10</c:v>
                </c:pt>
                <c:pt idx="20">
                  <c:v>11</c:v>
                </c:pt>
                <c:pt idx="21">
                  <c:v>12</c:v>
                </c:pt>
              </c:numCache>
            </c:numRef>
          </c:xVal>
          <c:yVal>
            <c:numRef>
              <c:f>yDnextFromLearningRateAnDrefA0!$E$6:$E$27</c:f>
              <c:numCache>
                <c:formatCode>0.0_ </c:formatCode>
                <c:ptCount val="22"/>
                <c:pt idx="0">
                  <c:v>272.59025444739069</c:v>
                </c:pt>
                <c:pt idx="1">
                  <c:v>190.81317811317348</c:v>
                </c:pt>
                <c:pt idx="2">
                  <c:v>133.56922467922143</c:v>
                </c:pt>
                <c:pt idx="3">
                  <c:v>93.498457275454996</c:v>
                </c:pt>
                <c:pt idx="4">
                  <c:v>65.448920092818497</c:v>
                </c:pt>
                <c:pt idx="5">
                  <c:v>45.814244064972947</c:v>
                </c:pt>
                <c:pt idx="6">
                  <c:v>32.069970845481059</c:v>
                </c:pt>
                <c:pt idx="7">
                  <c:v>22.448979591836739</c:v>
                </c:pt>
                <c:pt idx="8">
                  <c:v>15.714285714285715</c:v>
                </c:pt>
                <c:pt idx="9">
                  <c:v>11</c:v>
                </c:pt>
                <c:pt idx="10">
                  <c:v>7.6999999999999993</c:v>
                </c:pt>
                <c:pt idx="11">
                  <c:v>5.3899999999999988</c:v>
                </c:pt>
                <c:pt idx="12">
                  <c:v>3.7729999999999988</c:v>
                </c:pt>
                <c:pt idx="13">
                  <c:v>2.6410999999999989</c:v>
                </c:pt>
                <c:pt idx="14">
                  <c:v>1.8487699999999991</c:v>
                </c:pt>
                <c:pt idx="15">
                  <c:v>1.2941389999999993</c:v>
                </c:pt>
                <c:pt idx="16">
                  <c:v>0.90589729999999946</c:v>
                </c:pt>
                <c:pt idx="17">
                  <c:v>0.63412810999999958</c:v>
                </c:pt>
                <c:pt idx="18">
                  <c:v>0.44388967699999965</c:v>
                </c:pt>
                <c:pt idx="19">
                  <c:v>0.31072277389999975</c:v>
                </c:pt>
                <c:pt idx="20">
                  <c:v>0.21750594172999982</c:v>
                </c:pt>
                <c:pt idx="21">
                  <c:v>0.15225415921099986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0F8-4CCB-9149-5B25BC736F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102104"/>
        <c:axId val="436842416"/>
      </c:scatterChart>
      <c:valAx>
        <c:axId val="437222720"/>
        <c:scaling>
          <c:orientation val="minMax"/>
          <c:max val="12"/>
          <c:min val="-1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ko-KR"/>
                  <a:t>Index referring to</a:t>
                </a:r>
                <a:r>
                  <a:rPr lang="en-US" altLang="ko-KR" baseline="0"/>
                  <a:t> time </a:t>
                </a:r>
                <a:r>
                  <a:rPr lang="en-US" altLang="ko-KR"/>
                  <a:t>0</a:t>
                </a:r>
              </a:p>
            </c:rich>
          </c:tx>
          <c:layout>
            <c:manualLayout>
              <c:xMode val="edge"/>
              <c:yMode val="edge"/>
              <c:x val="0.28095046296296294"/>
              <c:y val="0.891457714684586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/>
                  <a:ea typeface="Arial"/>
                  <a:cs typeface="Arial"/>
                </a:defRPr>
              </a:pPr>
              <a:endParaRPr lang="ko-KR"/>
            </a:p>
          </c:txPr>
        </c:title>
        <c:numFmt formatCode="0_ 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437223048"/>
        <c:crossesAt val="0"/>
        <c:crossBetween val="midCat"/>
        <c:majorUnit val="5"/>
      </c:valAx>
      <c:valAx>
        <c:axId val="437223048"/>
        <c:scaling>
          <c:orientation val="minMax"/>
          <c:max val="1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ko-KR"/>
                  <a:t>Yield</a:t>
                </a:r>
              </a:p>
            </c:rich>
          </c:tx>
          <c:layout>
            <c:manualLayout>
              <c:xMode val="edge"/>
              <c:yMode val="edge"/>
              <c:x val="7.8043960661248165E-3"/>
              <c:y val="0.349621722716035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/>
                  <a:ea typeface="Arial"/>
                  <a:cs typeface="Arial"/>
                </a:defRPr>
              </a:pPr>
              <a:endParaRPr lang="ko-KR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437222720"/>
        <c:crossesAt val="-10"/>
        <c:crossBetween val="midCat"/>
        <c:majorUnit val="0.2"/>
      </c:valAx>
      <c:valAx>
        <c:axId val="436842416"/>
        <c:scaling>
          <c:logBase val="10"/>
          <c:orientation val="minMax"/>
          <c:max val="1000"/>
          <c:min val="0.1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ko-KR"/>
                  <a:t>DPU</a:t>
                </a:r>
              </a:p>
            </c:rich>
          </c:tx>
          <c:layout>
            <c:manualLayout>
              <c:xMode val="edge"/>
              <c:yMode val="edge"/>
              <c:x val="0.94389793805205546"/>
              <c:y val="0.366562576770847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/>
                  <a:ea typeface="Arial"/>
                  <a:cs typeface="Arial"/>
                </a:defRPr>
              </a:pPr>
              <a:endParaRPr lang="ko-KR"/>
            </a:p>
          </c:txPr>
        </c:title>
        <c:numFmt formatCode="General" sourceLinked="0"/>
        <c:majorTickMark val="in"/>
        <c:minorTickMark val="in"/>
        <c:tickLblPos val="nextTo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434102104"/>
        <c:crosses val="max"/>
        <c:crossBetween val="midCat"/>
      </c:valAx>
      <c:valAx>
        <c:axId val="434102104"/>
        <c:scaling>
          <c:orientation val="minMax"/>
        </c:scaling>
        <c:delete val="1"/>
        <c:axPos val="b"/>
        <c:numFmt formatCode="0_ " sourceLinked="1"/>
        <c:majorTickMark val="out"/>
        <c:minorTickMark val="none"/>
        <c:tickLblPos val="nextTo"/>
        <c:crossAx val="436842416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20640456717086902"/>
          <c:y val="0.40104926982393885"/>
          <c:w val="0.21970096631910385"/>
          <c:h val="0.31806414630817526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ea typeface="Arial"/>
              <a:cs typeface="Arial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 sz="1400">
          <a:latin typeface="Arial"/>
          <a:ea typeface="Arial"/>
          <a:cs typeface="Arial"/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46230</xdr:colOff>
      <xdr:row>1</xdr:row>
      <xdr:rowOff>20615</xdr:rowOff>
    </xdr:from>
    <xdr:to>
      <xdr:col>13</xdr:col>
      <xdr:colOff>407557</xdr:colOff>
      <xdr:row>18</xdr:row>
      <xdr:rowOff>121765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0.70775</cdr:x>
      <cdr:y>0.08288</cdr:y>
    </cdr:from>
    <cdr:to>
      <cdr:x>0.76256</cdr:x>
      <cdr:y>0.3173</cdr:y>
    </cdr:to>
    <cdr:sp macro="" textlink="">
      <cdr:nvSpPr>
        <cdr:cNvPr id="2" name="Arc 1"/>
        <cdr:cNvSpPr/>
      </cdr:nvSpPr>
      <cdr:spPr>
        <a:xfrm xmlns:a="http://schemas.openxmlformats.org/drawingml/2006/main" flipH="1">
          <a:off x="3059617" y="302922"/>
          <a:ext cx="236964" cy="856866"/>
        </a:xfrm>
        <a:prstGeom xmlns:a="http://schemas.openxmlformats.org/drawingml/2006/main" prst="arc">
          <a:avLst>
            <a:gd name="adj1" fmla="val 15752145"/>
            <a:gd name="adj2" fmla="val 6308513"/>
          </a:avLst>
        </a:prstGeom>
        <a:ln xmlns:a="http://schemas.openxmlformats.org/drawingml/2006/main">
          <a:solidFill>
            <a:schemeClr val="tx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ko-KR"/>
        </a:p>
      </cdr:txBody>
    </cdr:sp>
  </cdr:relSizeAnchor>
  <cdr:relSizeAnchor xmlns:cdr="http://schemas.openxmlformats.org/drawingml/2006/chartDrawing">
    <cdr:from>
      <cdr:x>0.23208</cdr:x>
      <cdr:y>0.12195</cdr:y>
    </cdr:from>
    <cdr:to>
      <cdr:x>0.29764</cdr:x>
      <cdr:y>0.33604</cdr:y>
    </cdr:to>
    <cdr:sp macro="" textlink="">
      <cdr:nvSpPr>
        <cdr:cNvPr id="4" name="Arc 3"/>
        <cdr:cNvSpPr/>
      </cdr:nvSpPr>
      <cdr:spPr>
        <a:xfrm xmlns:a="http://schemas.openxmlformats.org/drawingml/2006/main">
          <a:off x="1003300" y="445740"/>
          <a:ext cx="283427" cy="782525"/>
        </a:xfrm>
        <a:prstGeom xmlns:a="http://schemas.openxmlformats.org/drawingml/2006/main" prst="arc">
          <a:avLst>
            <a:gd name="adj1" fmla="val 15422200"/>
            <a:gd name="adj2" fmla="val 6151967"/>
          </a:avLst>
        </a:prstGeom>
        <a:ln xmlns:a="http://schemas.openxmlformats.org/drawingml/2006/main">
          <a:solidFill>
            <a:schemeClr val="tx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ko-KR"/>
        </a:p>
      </cdr:txBody>
    </cdr:sp>
  </cdr:relSizeAnchor>
  <cdr:relSizeAnchor xmlns:cdr="http://schemas.openxmlformats.org/drawingml/2006/chartDrawing">
    <cdr:from>
      <cdr:x>0.75289</cdr:x>
      <cdr:y>0.31349</cdr:y>
    </cdr:from>
    <cdr:to>
      <cdr:x>0.80233</cdr:x>
      <cdr:y>0.31603</cdr:y>
    </cdr:to>
    <cdr:cxnSp macro="">
      <cdr:nvCxnSpPr>
        <cdr:cNvPr id="6" name="Straight Arrow Connector 5"/>
        <cdr:cNvCxnSpPr/>
      </cdr:nvCxnSpPr>
      <cdr:spPr>
        <a:xfrm xmlns:a="http://schemas.openxmlformats.org/drawingml/2006/main">
          <a:off x="3254764" y="1145849"/>
          <a:ext cx="213731" cy="9293"/>
        </a:xfrm>
        <a:prstGeom xmlns:a="http://schemas.openxmlformats.org/drawingml/2006/main" prst="straightConnector1">
          <a:avLst/>
        </a:prstGeom>
        <a:ln xmlns:a="http://schemas.openxmlformats.org/drawingml/2006/main" w="9525" cap="flat" cmpd="sng" algn="ctr">
          <a:solidFill>
            <a:schemeClr val="dk1"/>
          </a:solidFill>
          <a:prstDash val="solid"/>
          <a:round/>
          <a:headEnd type="none" w="med" len="med"/>
          <a:tailEnd type="arrow" w="med" len="med"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0.2155</cdr:x>
      <cdr:y>0.10629</cdr:y>
    </cdr:from>
    <cdr:to>
      <cdr:x>0.27077</cdr:x>
      <cdr:y>0.10669</cdr:y>
    </cdr:to>
    <cdr:cxnSp macro="">
      <cdr:nvCxnSpPr>
        <cdr:cNvPr id="8" name="Straight Arrow Connector 7"/>
        <cdr:cNvCxnSpPr/>
      </cdr:nvCxnSpPr>
      <cdr:spPr>
        <a:xfrm xmlns:a="http://schemas.openxmlformats.org/drawingml/2006/main" flipH="1" flipV="1">
          <a:off x="931593" y="388496"/>
          <a:ext cx="238975" cy="1488"/>
        </a:xfrm>
        <a:prstGeom xmlns:a="http://schemas.openxmlformats.org/drawingml/2006/main" prst="straightConnector1">
          <a:avLst/>
        </a:prstGeom>
        <a:ln xmlns:a="http://schemas.openxmlformats.org/drawingml/2006/main" w="9525" cap="flat" cmpd="sng" algn="ctr">
          <a:solidFill>
            <a:schemeClr val="dk1"/>
          </a:solidFill>
          <a:prstDash val="solid"/>
          <a:round/>
          <a:headEnd type="none" w="med" len="med"/>
          <a:tailEnd type="arrow" w="med" len="med"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</cdr:cxn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47"/>
  <sheetViews>
    <sheetView showGridLines="0" tabSelected="1" topLeftCell="B1" zoomScaleNormal="100" workbookViewId="0">
      <selection activeCell="O15" sqref="O15"/>
    </sheetView>
  </sheetViews>
  <sheetFormatPr defaultRowHeight="16.5" x14ac:dyDescent="0.3"/>
  <cols>
    <col min="2" max="2" width="8.25" style="8" bestFit="1" customWidth="1"/>
    <col min="3" max="3" width="9.125" style="2" bestFit="1" customWidth="1"/>
    <col min="4" max="4" width="8.25" style="2" bestFit="1" customWidth="1"/>
    <col min="5" max="5" width="11.125" style="4" bestFit="1" customWidth="1"/>
    <col min="6" max="7" width="7.625" bestFit="1" customWidth="1"/>
    <col min="8" max="8" width="8.625" bestFit="1" customWidth="1"/>
    <col min="9" max="9" width="9.125" style="2" bestFit="1" customWidth="1"/>
    <col min="10" max="10" width="7.25" bestFit="1" customWidth="1"/>
  </cols>
  <sheetData>
    <row r="1" spans="1:9" x14ac:dyDescent="0.3">
      <c r="C1" s="2" t="s">
        <v>5</v>
      </c>
      <c r="D1" s="2" t="s">
        <v>6</v>
      </c>
      <c r="E1" s="4" t="s">
        <v>7</v>
      </c>
    </row>
    <row r="2" spans="1:9" x14ac:dyDescent="0.3">
      <c r="B2" s="8" t="s">
        <v>1</v>
      </c>
      <c r="C2" s="2">
        <v>3</v>
      </c>
      <c r="D2" s="2">
        <v>7</v>
      </c>
      <c r="E2" s="4">
        <v>11</v>
      </c>
    </row>
    <row r="3" spans="1:9" x14ac:dyDescent="0.3">
      <c r="B3" s="8" t="s">
        <v>2</v>
      </c>
      <c r="C3" s="2">
        <v>0</v>
      </c>
      <c r="D3" s="2">
        <v>0</v>
      </c>
      <c r="E3" s="4">
        <v>0</v>
      </c>
    </row>
    <row r="4" spans="1:9" x14ac:dyDescent="0.3">
      <c r="B4" s="8" t="s">
        <v>3</v>
      </c>
      <c r="C4" s="2">
        <v>0.3</v>
      </c>
      <c r="D4" s="2">
        <v>0.3</v>
      </c>
      <c r="E4" s="2">
        <v>0.3</v>
      </c>
    </row>
    <row r="5" spans="1:9" x14ac:dyDescent="0.3">
      <c r="B5" s="7" t="s">
        <v>0</v>
      </c>
      <c r="C5" s="1" t="str">
        <f>"D("&amp;$C$1&amp;")"</f>
        <v>D(Horse)</v>
      </c>
      <c r="D5" s="1" t="str">
        <f>"D("&amp;$D$1&amp;")"</f>
        <v>D(Goat)</v>
      </c>
      <c r="E5" s="1" t="str">
        <f>"D("&amp;$E$1&amp;")"</f>
        <v>D(Monkey)</v>
      </c>
      <c r="F5" s="1" t="str">
        <f>"Y("&amp;$C$1&amp;")"</f>
        <v>Y(Horse)</v>
      </c>
      <c r="G5" s="1" t="str">
        <f>"Y("&amp;$D$1&amp;")"</f>
        <v>Y(Goat)</v>
      </c>
      <c r="H5" s="1" t="str">
        <f>"Y("&amp;$E$1&amp;")"</f>
        <v>Y(Monkey)</v>
      </c>
      <c r="I5" s="6"/>
    </row>
    <row r="6" spans="1:9" x14ac:dyDescent="0.3">
      <c r="B6" s="9">
        <v>-9</v>
      </c>
      <c r="C6" s="3">
        <f>yDnextFromLearningRateAnDrefA0(C$2,C$3,C$4,$B6)</f>
        <v>74.342796667470196</v>
      </c>
      <c r="D6" s="3">
        <f t="shared" ref="D6:E6" si="0">yDnextFromLearningRateAnDrefA0(D$2,D$3,D$4,$B6)</f>
        <v>173.46652555743046</v>
      </c>
      <c r="E6" s="3">
        <f t="shared" si="0"/>
        <v>272.59025444739069</v>
      </c>
      <c r="F6" s="10">
        <f>EXP(-C6)</f>
        <v>5.1681324826184371E-33</v>
      </c>
      <c r="G6" s="10">
        <f t="shared" ref="G6:H6" si="1">EXP(-D6)</f>
        <v>4.617906713577226E-76</v>
      </c>
      <c r="H6" s="10">
        <f t="shared" si="1"/>
        <v>4.1262607889838512E-119</v>
      </c>
      <c r="I6" s="6"/>
    </row>
    <row r="7" spans="1:9" x14ac:dyDescent="0.3">
      <c r="B7" s="9">
        <v>-8</v>
      </c>
      <c r="C7" s="3">
        <f t="shared" ref="C7:E22" si="2">yDnextFromLearningRateAnDrefA0(C$2,C$3,C$4,$B7)</f>
        <v>52.039957667229132</v>
      </c>
      <c r="D7" s="3">
        <f t="shared" si="2"/>
        <v>121.42656789020131</v>
      </c>
      <c r="E7" s="3">
        <f t="shared" si="2"/>
        <v>190.81317811317348</v>
      </c>
      <c r="F7" s="10">
        <f t="shared" ref="F7:F20" si="3">EXP(-C7)</f>
        <v>2.5080347331895249E-23</v>
      </c>
      <c r="G7" s="10">
        <f t="shared" ref="G7:G20" si="4">EXP(-D7)</f>
        <v>1.8412451201202444E-53</v>
      </c>
      <c r="H7" s="10">
        <f t="shared" ref="H7:H20" si="5">EXP(-E7)</f>
        <v>1.3517291238049514E-83</v>
      </c>
      <c r="I7" s="6"/>
    </row>
    <row r="8" spans="1:9" x14ac:dyDescent="0.3">
      <c r="B8" s="9">
        <v>-7</v>
      </c>
      <c r="C8" s="3">
        <f t="shared" si="2"/>
        <v>36.427970367060389</v>
      </c>
      <c r="D8" s="3">
        <f t="shared" si="2"/>
        <v>84.998597523140916</v>
      </c>
      <c r="E8" s="3">
        <f t="shared" si="2"/>
        <v>133.56922467922143</v>
      </c>
      <c r="F8" s="10">
        <f t="shared" si="3"/>
        <v>1.5119362600910928E-16</v>
      </c>
      <c r="G8" s="10">
        <f t="shared" si="4"/>
        <v>1.2178060469356851E-37</v>
      </c>
      <c r="H8" s="10">
        <f t="shared" si="5"/>
        <v>9.808955622664793E-59</v>
      </c>
      <c r="I8" s="6"/>
    </row>
    <row r="9" spans="1:9" x14ac:dyDescent="0.3">
      <c r="B9" s="9">
        <v>-6</v>
      </c>
      <c r="C9" s="3">
        <f t="shared" si="2"/>
        <v>25.499579256942273</v>
      </c>
      <c r="D9" s="3">
        <f t="shared" si="2"/>
        <v>59.499018266198632</v>
      </c>
      <c r="E9" s="3">
        <f t="shared" si="2"/>
        <v>93.498457275454996</v>
      </c>
      <c r="F9" s="10">
        <f t="shared" si="3"/>
        <v>8.4270086140505954E-12</v>
      </c>
      <c r="G9" s="10">
        <f t="shared" si="4"/>
        <v>1.4451225846680812E-26</v>
      </c>
      <c r="H9" s="10">
        <f t="shared" si="5"/>
        <v>2.4781976385258859E-41</v>
      </c>
      <c r="I9" s="6"/>
    </row>
    <row r="10" spans="1:9" x14ac:dyDescent="0.3">
      <c r="B10" s="9">
        <v>-5</v>
      </c>
      <c r="C10" s="3">
        <f t="shared" si="2"/>
        <v>17.84970547985959</v>
      </c>
      <c r="D10" s="3">
        <f t="shared" si="2"/>
        <v>41.649312786339038</v>
      </c>
      <c r="E10" s="3">
        <f t="shared" si="2"/>
        <v>65.448920092818497</v>
      </c>
      <c r="F10" s="10">
        <f t="shared" si="3"/>
        <v>1.7699924200036864E-8</v>
      </c>
      <c r="G10" s="10">
        <f t="shared" si="4"/>
        <v>8.1645693412917355E-19</v>
      </c>
      <c r="H10" s="10">
        <f t="shared" si="5"/>
        <v>3.7661287006314642E-29</v>
      </c>
      <c r="I10" s="6"/>
    </row>
    <row r="11" spans="1:9" x14ac:dyDescent="0.3">
      <c r="B11" s="9">
        <v>-4</v>
      </c>
      <c r="C11" s="3">
        <f t="shared" si="2"/>
        <v>12.494793835901712</v>
      </c>
      <c r="D11" s="3">
        <f t="shared" si="2"/>
        <v>29.154518950437325</v>
      </c>
      <c r="E11" s="3">
        <f t="shared" si="2"/>
        <v>45.814244064972947</v>
      </c>
      <c r="F11" s="10">
        <f t="shared" si="3"/>
        <v>3.7461053316611858E-6</v>
      </c>
      <c r="G11" s="10">
        <f t="shared" si="4"/>
        <v>2.1794820536109232E-13</v>
      </c>
      <c r="H11" s="10">
        <f t="shared" si="5"/>
        <v>1.2680214786981511E-20</v>
      </c>
      <c r="I11" s="6"/>
    </row>
    <row r="12" spans="1:9" x14ac:dyDescent="0.3">
      <c r="B12" s="9">
        <v>-3</v>
      </c>
      <c r="C12" s="3">
        <f t="shared" si="2"/>
        <v>8.7463556851311974</v>
      </c>
      <c r="D12" s="3">
        <f t="shared" si="2"/>
        <v>20.408163265306126</v>
      </c>
      <c r="E12" s="3">
        <f t="shared" si="2"/>
        <v>32.069970845481059</v>
      </c>
      <c r="F12" s="10">
        <f t="shared" si="3"/>
        <v>1.5903986162330242E-4</v>
      </c>
      <c r="G12" s="10">
        <f t="shared" si="4"/>
        <v>1.3703998679105935E-9</v>
      </c>
      <c r="H12" s="10">
        <f t="shared" si="5"/>
        <v>1.1808333953518727E-14</v>
      </c>
      <c r="I12" s="6"/>
    </row>
    <row r="13" spans="1:9" x14ac:dyDescent="0.3">
      <c r="B13" s="9">
        <v>-2</v>
      </c>
      <c r="C13" s="3">
        <f t="shared" si="2"/>
        <v>6.1224489795918373</v>
      </c>
      <c r="D13" s="3">
        <f t="shared" si="2"/>
        <v>14.285714285714286</v>
      </c>
      <c r="E13" s="3">
        <f t="shared" si="2"/>
        <v>22.448979591836739</v>
      </c>
      <c r="F13" s="10">
        <f t="shared" si="3"/>
        <v>2.1930785764980127E-3</v>
      </c>
      <c r="G13" s="10">
        <f t="shared" si="4"/>
        <v>6.2487495094630851E-7</v>
      </c>
      <c r="H13" s="10">
        <f t="shared" si="5"/>
        <v>1.7804592525985304E-10</v>
      </c>
      <c r="I13" s="6"/>
    </row>
    <row r="14" spans="1:9" x14ac:dyDescent="0.3">
      <c r="B14" s="9">
        <v>-1</v>
      </c>
      <c r="C14" s="3">
        <f t="shared" si="2"/>
        <v>4.2857142857142856</v>
      </c>
      <c r="D14" s="3">
        <f t="shared" si="2"/>
        <v>10</v>
      </c>
      <c r="E14" s="3">
        <f t="shared" si="2"/>
        <v>15.714285714285715</v>
      </c>
      <c r="F14" s="10">
        <f t="shared" si="3"/>
        <v>1.3763786733050402E-2</v>
      </c>
      <c r="G14" s="10">
        <f t="shared" si="4"/>
        <v>4.5399929762484854E-5</v>
      </c>
      <c r="H14" s="10">
        <f t="shared" si="5"/>
        <v>1.497519296407866E-7</v>
      </c>
      <c r="I14" s="6"/>
    </row>
    <row r="15" spans="1:9" x14ac:dyDescent="0.3">
      <c r="A15" s="8" t="s">
        <v>4</v>
      </c>
      <c r="B15" s="9">
        <v>0</v>
      </c>
      <c r="C15" s="3">
        <f t="shared" si="2"/>
        <v>3</v>
      </c>
      <c r="D15" s="3">
        <f t="shared" si="2"/>
        <v>7</v>
      </c>
      <c r="E15" s="3">
        <f t="shared" si="2"/>
        <v>11</v>
      </c>
      <c r="F15" s="10">
        <f t="shared" si="3"/>
        <v>4.9787068367863944E-2</v>
      </c>
      <c r="G15" s="10">
        <f t="shared" si="4"/>
        <v>9.1188196555451624E-4</v>
      </c>
      <c r="H15" s="10">
        <f t="shared" si="5"/>
        <v>1.6701700790245659E-5</v>
      </c>
      <c r="I15" s="6"/>
    </row>
    <row r="16" spans="1:9" x14ac:dyDescent="0.3">
      <c r="B16" s="9">
        <v>1</v>
      </c>
      <c r="C16" s="3">
        <f t="shared" si="2"/>
        <v>2.0999999999999996</v>
      </c>
      <c r="D16" s="3">
        <f t="shared" si="2"/>
        <v>4.8999999999999995</v>
      </c>
      <c r="E16" s="3">
        <f t="shared" si="2"/>
        <v>7.6999999999999993</v>
      </c>
      <c r="F16" s="10">
        <f t="shared" si="3"/>
        <v>0.12245642825298195</v>
      </c>
      <c r="G16" s="10">
        <f t="shared" si="4"/>
        <v>7.4465830709243442E-3</v>
      </c>
      <c r="H16" s="10">
        <f t="shared" si="5"/>
        <v>4.5282718288679739E-4</v>
      </c>
      <c r="I16" s="6"/>
    </row>
    <row r="17" spans="2:9" x14ac:dyDescent="0.3">
      <c r="B17" s="9">
        <v>2</v>
      </c>
      <c r="C17" s="3">
        <f t="shared" si="2"/>
        <v>1.4699999999999998</v>
      </c>
      <c r="D17" s="3">
        <f t="shared" si="2"/>
        <v>3.4299999999999993</v>
      </c>
      <c r="E17" s="3">
        <f t="shared" si="2"/>
        <v>5.3899999999999988</v>
      </c>
      <c r="F17" s="10">
        <f t="shared" si="3"/>
        <v>0.2299254851867239</v>
      </c>
      <c r="G17" s="10">
        <f t="shared" si="4"/>
        <v>3.2386940772907068E-2</v>
      </c>
      <c r="H17" s="10">
        <f t="shared" si="5"/>
        <v>4.5619733357350999E-3</v>
      </c>
      <c r="I17" s="6"/>
    </row>
    <row r="18" spans="2:9" x14ac:dyDescent="0.3">
      <c r="B18" s="9">
        <v>3</v>
      </c>
      <c r="C18" s="3">
        <f t="shared" si="2"/>
        <v>1.0289999999999997</v>
      </c>
      <c r="D18" s="3">
        <f t="shared" si="2"/>
        <v>2.4009999999999994</v>
      </c>
      <c r="E18" s="3">
        <f t="shared" si="2"/>
        <v>3.7729999999999988</v>
      </c>
      <c r="F18" s="10">
        <f t="shared" si="3"/>
        <v>0.35736414609271294</v>
      </c>
      <c r="G18" s="10">
        <f t="shared" si="4"/>
        <v>9.0627280679983921E-2</v>
      </c>
      <c r="H18" s="10">
        <f t="shared" si="5"/>
        <v>2.2983010727992182E-2</v>
      </c>
      <c r="I18" s="6"/>
    </row>
    <row r="19" spans="2:9" x14ac:dyDescent="0.3">
      <c r="B19" s="9">
        <v>4</v>
      </c>
      <c r="C19" s="3">
        <f t="shared" si="2"/>
        <v>0.72029999999999972</v>
      </c>
      <c r="D19" s="3">
        <f t="shared" si="2"/>
        <v>1.6806999999999994</v>
      </c>
      <c r="E19" s="3">
        <f t="shared" si="2"/>
        <v>2.6410999999999989</v>
      </c>
      <c r="F19" s="10">
        <f t="shared" si="3"/>
        <v>0.4866062521848451</v>
      </c>
      <c r="G19" s="10">
        <f t="shared" si="4"/>
        <v>0.1862435599071541</v>
      </c>
      <c r="H19" s="10">
        <f t="shared" si="5"/>
        <v>7.1282815317616238E-2</v>
      </c>
      <c r="I19" s="6"/>
    </row>
    <row r="20" spans="2:9" x14ac:dyDescent="0.3">
      <c r="B20" s="9">
        <v>5</v>
      </c>
      <c r="C20" s="3">
        <f t="shared" si="2"/>
        <v>0.50420999999999982</v>
      </c>
      <c r="D20" s="3">
        <f t="shared" si="2"/>
        <v>1.1764899999999996</v>
      </c>
      <c r="E20" s="3">
        <f t="shared" si="2"/>
        <v>1.8487699999999991</v>
      </c>
      <c r="F20" s="10">
        <f t="shared" si="3"/>
        <v>0.60398253320514461</v>
      </c>
      <c r="G20" s="10">
        <f t="shared" si="4"/>
        <v>0.30835918204259705</v>
      </c>
      <c r="H20" s="10">
        <f t="shared" si="5"/>
        <v>0.15743068701902921</v>
      </c>
      <c r="I20" s="6"/>
    </row>
    <row r="21" spans="2:9" x14ac:dyDescent="0.3">
      <c r="B21" s="9">
        <v>6</v>
      </c>
      <c r="C21" s="3">
        <f t="shared" si="2"/>
        <v>0.35294699999999984</v>
      </c>
      <c r="D21" s="3">
        <f t="shared" si="2"/>
        <v>0.82354299999999969</v>
      </c>
      <c r="E21" s="3">
        <f t="shared" si="2"/>
        <v>1.2941389999999993</v>
      </c>
      <c r="F21" s="10">
        <f t="shared" ref="F21:F27" si="6">EXP(-C21)</f>
        <v>0.70261443095527776</v>
      </c>
      <c r="G21" s="10">
        <f t="shared" ref="G21:G27" si="7">EXP(-D21)</f>
        <v>0.43887396622832037</v>
      </c>
      <c r="H21" s="10">
        <f t="shared" ref="H21:H27" si="8">EXP(-E21)</f>
        <v>0.2741337919448979</v>
      </c>
      <c r="I21" s="6"/>
    </row>
    <row r="22" spans="2:9" x14ac:dyDescent="0.3">
      <c r="B22" s="9">
        <v>7</v>
      </c>
      <c r="C22" s="3">
        <f t="shared" si="2"/>
        <v>0.24706289999999986</v>
      </c>
      <c r="D22" s="3">
        <f t="shared" si="2"/>
        <v>0.57648009999999972</v>
      </c>
      <c r="E22" s="3">
        <f t="shared" si="2"/>
        <v>0.90589729999999946</v>
      </c>
      <c r="F22" s="10">
        <f t="shared" si="6"/>
        <v>0.78109156132697743</v>
      </c>
      <c r="G22" s="10">
        <f t="shared" si="7"/>
        <v>0.56187262538431226</v>
      </c>
      <c r="H22" s="10">
        <f t="shared" si="8"/>
        <v>0.40417905247871744</v>
      </c>
      <c r="I22" s="6"/>
    </row>
    <row r="23" spans="2:9" x14ac:dyDescent="0.3">
      <c r="B23" s="9">
        <v>8</v>
      </c>
      <c r="C23" s="3">
        <f t="shared" ref="C23:E27" si="9">yDnextFromLearningRateAnDrefA0(C$2,C$3,C$4,$B23)</f>
        <v>0.17294402999999989</v>
      </c>
      <c r="D23" s="3">
        <f t="shared" si="9"/>
        <v>0.4035360699999998</v>
      </c>
      <c r="E23" s="3">
        <f t="shared" si="9"/>
        <v>0.63412810999999958</v>
      </c>
      <c r="F23" s="10">
        <f t="shared" si="6"/>
        <v>0.84118469463444179</v>
      </c>
      <c r="G23" s="10">
        <f t="shared" si="7"/>
        <v>0.66795393326609254</v>
      </c>
      <c r="H23" s="10">
        <f t="shared" si="8"/>
        <v>0.53039773525543621</v>
      </c>
      <c r="I23" s="6"/>
    </row>
    <row r="24" spans="2:9" x14ac:dyDescent="0.3">
      <c r="B24" s="9">
        <v>9</v>
      </c>
      <c r="C24" s="3">
        <f t="shared" si="9"/>
        <v>0.12106082099999992</v>
      </c>
      <c r="D24" s="3">
        <f t="shared" si="9"/>
        <v>0.28247524899999982</v>
      </c>
      <c r="E24" s="3">
        <f t="shared" si="9"/>
        <v>0.44388967699999965</v>
      </c>
      <c r="F24" s="10">
        <f t="shared" si="6"/>
        <v>0.88598007176019178</v>
      </c>
      <c r="G24" s="10">
        <f t="shared" si="7"/>
        <v>0.75391530188603118</v>
      </c>
      <c r="H24" s="10">
        <f t="shared" si="8"/>
        <v>0.64153619312077614</v>
      </c>
      <c r="I24" s="6"/>
    </row>
    <row r="25" spans="2:9" x14ac:dyDescent="0.3">
      <c r="B25" s="9">
        <v>10</v>
      </c>
      <c r="C25" s="3">
        <f t="shared" si="9"/>
        <v>8.4742574699999934E-2</v>
      </c>
      <c r="D25" s="3">
        <f t="shared" si="9"/>
        <v>0.19773267429999986</v>
      </c>
      <c r="E25" s="3">
        <f t="shared" si="9"/>
        <v>0.31072277389999975</v>
      </c>
      <c r="F25" s="10">
        <f t="shared" si="6"/>
        <v>0.9187487631383221</v>
      </c>
      <c r="G25" s="10">
        <f t="shared" si="7"/>
        <v>0.82058918839874995</v>
      </c>
      <c r="H25" s="10">
        <f t="shared" si="8"/>
        <v>0.7329170314382677</v>
      </c>
      <c r="I25" s="6"/>
    </row>
    <row r="26" spans="2:9" x14ac:dyDescent="0.3">
      <c r="B26" s="9">
        <v>11</v>
      </c>
      <c r="C26" s="3">
        <f t="shared" si="9"/>
        <v>5.9319802289999952E-2</v>
      </c>
      <c r="D26" s="3">
        <f t="shared" si="9"/>
        <v>0.13841287200999988</v>
      </c>
      <c r="E26" s="3">
        <f t="shared" si="9"/>
        <v>0.21750594172999982</v>
      </c>
      <c r="F26" s="10">
        <f t="shared" si="6"/>
        <v>0.94240533757534894</v>
      </c>
      <c r="G26" s="10">
        <f t="shared" si="7"/>
        <v>0.87073911371298951</v>
      </c>
      <c r="H26" s="10">
        <f t="shared" si="8"/>
        <v>0.80452282464822356</v>
      </c>
      <c r="I26" s="6"/>
    </row>
    <row r="27" spans="2:9" x14ac:dyDescent="0.3">
      <c r="B27" s="9">
        <v>12</v>
      </c>
      <c r="C27" s="3">
        <f t="shared" si="9"/>
        <v>4.1523861602999965E-2</v>
      </c>
      <c r="D27" s="3">
        <f t="shared" si="9"/>
        <v>9.6889010406999918E-2</v>
      </c>
      <c r="E27" s="3">
        <f t="shared" si="9"/>
        <v>0.15225415921099986</v>
      </c>
      <c r="F27" s="10">
        <f t="shared" si="6"/>
        <v>0.95932644400160727</v>
      </c>
      <c r="G27" s="10">
        <f t="shared" si="7"/>
        <v>0.90765674099517546</v>
      </c>
      <c r="H27" s="10">
        <f t="shared" si="8"/>
        <v>0.85876998869907384</v>
      </c>
      <c r="I27" s="6"/>
    </row>
    <row r="28" spans="2:9" x14ac:dyDescent="0.3">
      <c r="B28" s="7"/>
      <c r="C28" s="1"/>
      <c r="D28" s="1"/>
      <c r="E28" s="5"/>
      <c r="F28" s="2"/>
      <c r="G28" s="1"/>
      <c r="H28" s="2"/>
      <c r="I28" s="6"/>
    </row>
    <row r="29" spans="2:9" x14ac:dyDescent="0.3">
      <c r="B29" s="7"/>
      <c r="C29" s="1"/>
      <c r="D29" s="1"/>
      <c r="E29" s="5"/>
      <c r="F29" s="2"/>
      <c r="G29" s="1"/>
      <c r="H29" s="2"/>
      <c r="I29" s="6"/>
    </row>
    <row r="30" spans="2:9" x14ac:dyDescent="0.3">
      <c r="B30" s="7"/>
      <c r="C30" s="1"/>
      <c r="D30" s="1"/>
      <c r="E30" s="5"/>
      <c r="F30" s="2"/>
      <c r="G30" s="1"/>
      <c r="H30" s="2"/>
      <c r="I30" s="6"/>
    </row>
    <row r="31" spans="2:9" x14ac:dyDescent="0.3">
      <c r="B31" s="7"/>
      <c r="C31" s="1"/>
      <c r="D31" s="1"/>
      <c r="E31" s="5"/>
      <c r="F31" s="2"/>
      <c r="G31" s="1"/>
      <c r="H31" s="2"/>
      <c r="I31" s="6"/>
    </row>
    <row r="32" spans="2:9" x14ac:dyDescent="0.3">
      <c r="B32" s="7"/>
      <c r="C32" s="1"/>
      <c r="D32" s="1"/>
      <c r="E32" s="5"/>
      <c r="F32" s="2"/>
      <c r="G32" s="1"/>
      <c r="H32" s="2"/>
      <c r="I32" s="6"/>
    </row>
    <row r="33" spans="2:9" x14ac:dyDescent="0.3">
      <c r="B33" s="7"/>
      <c r="C33" s="1"/>
      <c r="D33" s="1"/>
      <c r="E33" s="5"/>
      <c r="F33" s="2"/>
      <c r="G33" s="1"/>
      <c r="H33" s="2"/>
      <c r="I33" s="6"/>
    </row>
    <row r="34" spans="2:9" x14ac:dyDescent="0.3">
      <c r="B34" s="7"/>
      <c r="C34" s="1"/>
      <c r="D34" s="1"/>
      <c r="E34" s="5"/>
      <c r="F34" s="2"/>
      <c r="G34" s="1"/>
      <c r="H34" s="2"/>
      <c r="I34" s="6"/>
    </row>
    <row r="35" spans="2:9" x14ac:dyDescent="0.3">
      <c r="B35" s="7"/>
      <c r="C35" s="1"/>
      <c r="D35" s="1"/>
      <c r="E35" s="5"/>
      <c r="F35" s="2"/>
      <c r="G35" s="1"/>
      <c r="H35" s="2"/>
      <c r="I35" s="6"/>
    </row>
    <row r="36" spans="2:9" x14ac:dyDescent="0.3">
      <c r="B36" s="7"/>
      <c r="C36" s="1"/>
      <c r="D36" s="1"/>
      <c r="E36" s="5"/>
      <c r="F36" s="2"/>
      <c r="G36" s="3"/>
      <c r="H36" s="2"/>
      <c r="I36" s="6"/>
    </row>
    <row r="37" spans="2:9" x14ac:dyDescent="0.3">
      <c r="B37" s="7"/>
      <c r="C37" s="1"/>
      <c r="D37" s="1"/>
      <c r="E37" s="5"/>
      <c r="F37" s="1"/>
      <c r="G37" s="1"/>
      <c r="H37" s="1"/>
      <c r="I37" s="1"/>
    </row>
    <row r="38" spans="2:9" x14ac:dyDescent="0.3">
      <c r="B38" s="7"/>
      <c r="C38" s="1"/>
      <c r="D38" s="1"/>
      <c r="E38" s="5"/>
      <c r="F38" s="1"/>
      <c r="G38" s="1"/>
      <c r="H38" s="1"/>
      <c r="I38" s="1"/>
    </row>
    <row r="39" spans="2:9" x14ac:dyDescent="0.3">
      <c r="B39" s="7"/>
      <c r="C39" s="1"/>
      <c r="D39" s="1"/>
      <c r="E39" s="5"/>
      <c r="F39" s="1"/>
      <c r="G39" s="1"/>
      <c r="H39" s="1"/>
      <c r="I39" s="1"/>
    </row>
    <row r="40" spans="2:9" x14ac:dyDescent="0.3">
      <c r="B40" s="7"/>
      <c r="C40" s="1"/>
      <c r="D40" s="1"/>
      <c r="E40" s="5"/>
      <c r="F40" s="1"/>
      <c r="G40" s="1"/>
      <c r="H40" s="1"/>
      <c r="I40" s="1"/>
    </row>
    <row r="41" spans="2:9" x14ac:dyDescent="0.3">
      <c r="B41" s="7"/>
      <c r="C41" s="1"/>
      <c r="D41" s="1"/>
      <c r="E41" s="5"/>
      <c r="F41" s="1"/>
      <c r="G41" s="1"/>
      <c r="H41" s="1"/>
      <c r="I41" s="1"/>
    </row>
    <row r="42" spans="2:9" x14ac:dyDescent="0.3">
      <c r="B42" s="7"/>
      <c r="C42" s="1"/>
      <c r="D42" s="1"/>
      <c r="E42" s="5"/>
      <c r="F42" s="1"/>
      <c r="G42" s="1"/>
      <c r="H42" s="1"/>
      <c r="I42" s="1"/>
    </row>
    <row r="43" spans="2:9" x14ac:dyDescent="0.3">
      <c r="B43" s="7"/>
      <c r="C43" s="1"/>
      <c r="D43" s="1"/>
      <c r="E43" s="5"/>
      <c r="F43" s="1"/>
      <c r="G43" s="1"/>
      <c r="H43" s="1"/>
      <c r="I43" s="1"/>
    </row>
    <row r="44" spans="2:9" x14ac:dyDescent="0.3">
      <c r="B44" s="7"/>
      <c r="C44" s="1"/>
      <c r="D44" s="1"/>
      <c r="E44" s="5"/>
      <c r="F44" s="1"/>
      <c r="G44" s="1"/>
      <c r="H44" s="1"/>
      <c r="I44" s="1"/>
    </row>
    <row r="45" spans="2:9" x14ac:dyDescent="0.3">
      <c r="B45" s="7"/>
      <c r="C45" s="1"/>
      <c r="D45" s="1"/>
      <c r="E45" s="5"/>
      <c r="F45" s="1"/>
      <c r="G45" s="1"/>
      <c r="H45" s="1"/>
      <c r="I45" s="1"/>
    </row>
    <row r="46" spans="2:9" x14ac:dyDescent="0.3">
      <c r="B46" s="7"/>
      <c r="C46" s="1"/>
      <c r="D46" s="1"/>
      <c r="E46" s="5"/>
      <c r="F46" s="1"/>
      <c r="G46" s="1"/>
      <c r="H46" s="1"/>
      <c r="I46" s="1"/>
    </row>
    <row r="47" spans="2:9" x14ac:dyDescent="0.3">
      <c r="B47" s="7"/>
      <c r="C47" s="1"/>
      <c r="D47" s="1"/>
      <c r="E47" s="5"/>
      <c r="F47" s="1"/>
      <c r="G47" s="1"/>
      <c r="H47" s="1"/>
      <c r="I47" s="1"/>
    </row>
    <row r="48" spans="2:9" x14ac:dyDescent="0.3">
      <c r="B48" s="7"/>
      <c r="C48" s="1"/>
      <c r="D48" s="1"/>
      <c r="E48" s="5"/>
      <c r="F48" s="1"/>
      <c r="G48" s="1"/>
      <c r="H48" s="1"/>
      <c r="I48" s="1"/>
    </row>
    <row r="49" spans="2:9" x14ac:dyDescent="0.3">
      <c r="B49" s="7"/>
      <c r="C49" s="1"/>
      <c r="D49" s="1"/>
      <c r="E49" s="5"/>
      <c r="F49" s="1"/>
      <c r="G49" s="1"/>
      <c r="H49" s="1"/>
      <c r="I49" s="1"/>
    </row>
    <row r="50" spans="2:9" x14ac:dyDescent="0.3">
      <c r="B50" s="7"/>
      <c r="C50" s="1"/>
      <c r="D50" s="1"/>
      <c r="E50" s="5"/>
      <c r="F50" s="1"/>
      <c r="G50" s="1"/>
      <c r="H50" s="1"/>
      <c r="I50" s="1"/>
    </row>
    <row r="51" spans="2:9" x14ac:dyDescent="0.3">
      <c r="B51" s="7"/>
      <c r="C51" s="1"/>
      <c r="D51" s="1"/>
      <c r="E51" s="5"/>
      <c r="F51" s="1"/>
      <c r="G51" s="1"/>
      <c r="H51" s="1"/>
      <c r="I51" s="1"/>
    </row>
    <row r="52" spans="2:9" x14ac:dyDescent="0.3">
      <c r="B52" s="7"/>
      <c r="C52" s="1"/>
      <c r="D52" s="1"/>
      <c r="E52" s="5"/>
      <c r="F52" s="1"/>
      <c r="G52" s="1"/>
      <c r="H52" s="1"/>
      <c r="I52" s="1"/>
    </row>
    <row r="53" spans="2:9" x14ac:dyDescent="0.3">
      <c r="B53" s="7"/>
      <c r="C53" s="1"/>
      <c r="D53" s="1"/>
      <c r="E53" s="5"/>
      <c r="F53" s="1"/>
      <c r="G53" s="1"/>
      <c r="H53" s="1"/>
      <c r="I53" s="1"/>
    </row>
    <row r="54" spans="2:9" x14ac:dyDescent="0.3">
      <c r="B54" s="7"/>
      <c r="C54" s="1"/>
      <c r="D54" s="1"/>
      <c r="E54" s="5"/>
      <c r="F54" s="1"/>
      <c r="G54" s="1"/>
      <c r="H54" s="1"/>
      <c r="I54" s="1"/>
    </row>
    <row r="55" spans="2:9" x14ac:dyDescent="0.3">
      <c r="B55" s="7"/>
      <c r="C55" s="1"/>
      <c r="D55" s="1"/>
      <c r="E55" s="5"/>
      <c r="F55" s="1"/>
      <c r="G55" s="1"/>
      <c r="H55" s="1"/>
      <c r="I55" s="1"/>
    </row>
    <row r="56" spans="2:9" x14ac:dyDescent="0.3">
      <c r="B56" s="7"/>
      <c r="C56" s="1"/>
      <c r="D56" s="1"/>
      <c r="E56" s="5"/>
      <c r="F56" s="1"/>
      <c r="G56" s="1"/>
      <c r="H56" s="1"/>
      <c r="I56" s="1"/>
    </row>
    <row r="57" spans="2:9" x14ac:dyDescent="0.3">
      <c r="B57" s="7"/>
      <c r="C57" s="1"/>
      <c r="D57" s="1"/>
      <c r="E57" s="5"/>
      <c r="F57" s="1"/>
      <c r="G57" s="1"/>
      <c r="H57" s="1"/>
      <c r="I57" s="1"/>
    </row>
    <row r="58" spans="2:9" x14ac:dyDescent="0.3">
      <c r="B58" s="7"/>
      <c r="C58" s="1"/>
      <c r="D58" s="1"/>
      <c r="E58" s="5"/>
      <c r="F58" s="1"/>
      <c r="G58" s="1"/>
      <c r="H58" s="1"/>
      <c r="I58" s="1"/>
    </row>
    <row r="59" spans="2:9" x14ac:dyDescent="0.3">
      <c r="B59" s="7"/>
      <c r="C59" s="1"/>
      <c r="D59" s="1"/>
      <c r="E59" s="5"/>
      <c r="F59" s="1"/>
      <c r="G59" s="1"/>
      <c r="H59" s="1"/>
      <c r="I59" s="1"/>
    </row>
    <row r="60" spans="2:9" x14ac:dyDescent="0.3">
      <c r="B60" s="7"/>
      <c r="C60" s="1"/>
      <c r="D60" s="1"/>
      <c r="E60" s="5"/>
      <c r="F60" s="1"/>
      <c r="G60" s="1"/>
      <c r="H60" s="1"/>
      <c r="I60" s="1"/>
    </row>
    <row r="61" spans="2:9" x14ac:dyDescent="0.3">
      <c r="B61" s="7"/>
      <c r="C61" s="1"/>
      <c r="D61" s="1"/>
      <c r="E61" s="5"/>
      <c r="F61" s="1"/>
      <c r="G61" s="1"/>
      <c r="H61" s="1"/>
      <c r="I61" s="1"/>
    </row>
    <row r="62" spans="2:9" x14ac:dyDescent="0.3">
      <c r="B62" s="7"/>
      <c r="C62" s="1"/>
      <c r="D62" s="1"/>
      <c r="E62" s="5"/>
      <c r="F62" s="1"/>
      <c r="G62" s="1"/>
      <c r="H62" s="1"/>
      <c r="I62" s="1"/>
    </row>
    <row r="63" spans="2:9" x14ac:dyDescent="0.3">
      <c r="B63" s="7"/>
      <c r="C63" s="1"/>
      <c r="D63" s="1"/>
      <c r="E63" s="5"/>
      <c r="F63" s="1"/>
      <c r="G63" s="1"/>
      <c r="H63" s="1"/>
      <c r="I63" s="1"/>
    </row>
    <row r="64" spans="2:9" x14ac:dyDescent="0.3">
      <c r="B64" s="7"/>
      <c r="C64" s="1"/>
      <c r="D64" s="1"/>
      <c r="E64" s="5"/>
      <c r="F64" s="1"/>
      <c r="G64" s="1"/>
      <c r="H64" s="1"/>
      <c r="I64" s="1"/>
    </row>
    <row r="65" spans="2:9" x14ac:dyDescent="0.3">
      <c r="B65" s="7"/>
      <c r="C65" s="1"/>
      <c r="D65" s="1"/>
      <c r="E65" s="5"/>
      <c r="F65" s="1"/>
      <c r="G65" s="1"/>
      <c r="H65" s="1"/>
      <c r="I65" s="1"/>
    </row>
    <row r="66" spans="2:9" x14ac:dyDescent="0.3">
      <c r="B66" s="7"/>
      <c r="C66" s="1"/>
      <c r="D66" s="1"/>
      <c r="E66" s="5"/>
      <c r="F66" s="1"/>
      <c r="G66" s="1"/>
      <c r="H66" s="1"/>
      <c r="I66" s="1"/>
    </row>
    <row r="67" spans="2:9" x14ac:dyDescent="0.3">
      <c r="B67" s="7"/>
      <c r="C67" s="1"/>
      <c r="D67" s="1"/>
      <c r="E67" s="5"/>
      <c r="F67" s="1"/>
      <c r="G67" s="1"/>
      <c r="H67" s="1"/>
      <c r="I67" s="1"/>
    </row>
    <row r="68" spans="2:9" x14ac:dyDescent="0.3">
      <c r="B68" s="7"/>
      <c r="C68" s="1"/>
      <c r="D68" s="1"/>
      <c r="E68" s="5"/>
      <c r="F68" s="1"/>
      <c r="G68" s="1"/>
      <c r="H68" s="1"/>
      <c r="I68" s="1"/>
    </row>
    <row r="69" spans="2:9" x14ac:dyDescent="0.3">
      <c r="B69" s="7"/>
      <c r="C69" s="1"/>
      <c r="D69" s="1"/>
      <c r="E69" s="5"/>
      <c r="F69" s="1"/>
      <c r="G69" s="1"/>
      <c r="H69" s="1"/>
      <c r="I69" s="1"/>
    </row>
    <row r="70" spans="2:9" x14ac:dyDescent="0.3">
      <c r="B70" s="7"/>
      <c r="C70" s="1"/>
      <c r="D70" s="1"/>
      <c r="E70" s="5"/>
      <c r="F70" s="1"/>
      <c r="G70" s="1"/>
      <c r="H70" s="1"/>
      <c r="I70" s="1"/>
    </row>
    <row r="71" spans="2:9" x14ac:dyDescent="0.3">
      <c r="B71" s="7"/>
      <c r="C71" s="1"/>
      <c r="D71" s="1"/>
      <c r="E71" s="5"/>
      <c r="F71" s="1"/>
      <c r="G71" s="1"/>
      <c r="H71" s="1"/>
      <c r="I71" s="1"/>
    </row>
    <row r="72" spans="2:9" x14ac:dyDescent="0.3">
      <c r="B72" s="7"/>
      <c r="C72" s="1"/>
      <c r="D72" s="1"/>
      <c r="E72" s="5"/>
      <c r="F72" s="1"/>
      <c r="G72" s="1"/>
      <c r="H72" s="1"/>
      <c r="I72" s="1"/>
    </row>
    <row r="73" spans="2:9" x14ac:dyDescent="0.3">
      <c r="B73" s="7"/>
      <c r="C73" s="1"/>
      <c r="D73" s="1"/>
      <c r="E73" s="5"/>
      <c r="F73" s="1"/>
      <c r="G73" s="1"/>
      <c r="H73" s="1"/>
      <c r="I73" s="1"/>
    </row>
    <row r="74" spans="2:9" x14ac:dyDescent="0.3">
      <c r="B74" s="7"/>
      <c r="C74" s="1"/>
      <c r="D74" s="1"/>
      <c r="E74" s="5"/>
      <c r="F74" s="1"/>
      <c r="G74" s="1"/>
      <c r="H74" s="1"/>
      <c r="I74" s="1"/>
    </row>
    <row r="75" spans="2:9" x14ac:dyDescent="0.3">
      <c r="B75" s="7"/>
      <c r="C75" s="1"/>
      <c r="D75" s="1"/>
      <c r="E75" s="5"/>
      <c r="F75" s="1"/>
      <c r="G75" s="1"/>
      <c r="H75" s="1"/>
      <c r="I75" s="1"/>
    </row>
    <row r="76" spans="2:9" x14ac:dyDescent="0.3">
      <c r="B76" s="7"/>
      <c r="C76" s="1"/>
      <c r="D76" s="1"/>
      <c r="E76" s="5"/>
      <c r="F76" s="1"/>
      <c r="G76" s="1"/>
      <c r="H76" s="1"/>
      <c r="I76" s="1"/>
    </row>
    <row r="77" spans="2:9" x14ac:dyDescent="0.3">
      <c r="B77" s="7"/>
      <c r="C77" s="1"/>
      <c r="D77" s="1"/>
      <c r="E77" s="5"/>
      <c r="F77" s="1"/>
      <c r="G77" s="1"/>
      <c r="H77" s="1"/>
      <c r="I77" s="1"/>
    </row>
    <row r="78" spans="2:9" x14ac:dyDescent="0.3">
      <c r="B78" s="7"/>
      <c r="C78" s="1"/>
      <c r="D78" s="1"/>
      <c r="E78" s="5"/>
      <c r="F78" s="1"/>
      <c r="G78" s="1"/>
      <c r="H78" s="1"/>
      <c r="I78" s="1"/>
    </row>
    <row r="79" spans="2:9" x14ac:dyDescent="0.3">
      <c r="B79" s="7"/>
      <c r="C79" s="1"/>
      <c r="D79" s="1"/>
      <c r="E79" s="5"/>
      <c r="F79" s="1"/>
      <c r="G79" s="1"/>
      <c r="H79" s="1"/>
      <c r="I79" s="1"/>
    </row>
    <row r="80" spans="2:9" x14ac:dyDescent="0.3">
      <c r="B80" s="7"/>
      <c r="C80" s="1"/>
      <c r="D80" s="1"/>
      <c r="E80" s="5"/>
      <c r="F80" s="1"/>
      <c r="G80" s="1"/>
      <c r="H80" s="1"/>
      <c r="I80" s="1"/>
    </row>
    <row r="81" spans="2:9" x14ac:dyDescent="0.3">
      <c r="B81" s="7"/>
      <c r="C81" s="1"/>
      <c r="D81" s="1"/>
      <c r="E81" s="5"/>
      <c r="F81" s="1"/>
      <c r="G81" s="1"/>
      <c r="H81" s="1"/>
      <c r="I81" s="1"/>
    </row>
    <row r="82" spans="2:9" x14ac:dyDescent="0.3">
      <c r="B82" s="7"/>
      <c r="C82" s="1"/>
      <c r="D82" s="1"/>
      <c r="E82" s="5"/>
      <c r="F82" s="1"/>
      <c r="G82" s="1"/>
      <c r="H82" s="1"/>
      <c r="I82" s="1"/>
    </row>
    <row r="83" spans="2:9" x14ac:dyDescent="0.3">
      <c r="B83" s="7"/>
      <c r="C83" s="1"/>
      <c r="D83" s="1"/>
      <c r="E83" s="5"/>
      <c r="F83" s="1"/>
      <c r="G83" s="1"/>
      <c r="H83" s="1"/>
      <c r="I83" s="1"/>
    </row>
    <row r="84" spans="2:9" x14ac:dyDescent="0.3">
      <c r="B84" s="7"/>
      <c r="C84" s="1"/>
      <c r="D84" s="1"/>
      <c r="E84" s="5"/>
      <c r="F84" s="1"/>
      <c r="G84" s="1"/>
      <c r="H84" s="1"/>
      <c r="I84" s="1"/>
    </row>
    <row r="85" spans="2:9" x14ac:dyDescent="0.3">
      <c r="B85" s="7"/>
      <c r="C85" s="1"/>
      <c r="D85" s="1"/>
      <c r="E85" s="5"/>
      <c r="F85" s="1"/>
      <c r="G85" s="1"/>
      <c r="H85" s="1"/>
      <c r="I85" s="1"/>
    </row>
    <row r="86" spans="2:9" x14ac:dyDescent="0.3">
      <c r="B86" s="7"/>
      <c r="C86" s="1"/>
      <c r="D86" s="1"/>
      <c r="E86" s="5"/>
      <c r="F86" s="1"/>
      <c r="G86" s="1"/>
      <c r="H86" s="1"/>
      <c r="I86" s="1"/>
    </row>
    <row r="87" spans="2:9" x14ac:dyDescent="0.3">
      <c r="B87" s="7"/>
      <c r="C87" s="1"/>
      <c r="D87" s="1"/>
      <c r="E87" s="5"/>
      <c r="F87" s="1"/>
      <c r="G87" s="1"/>
      <c r="H87" s="1"/>
      <c r="I87" s="1"/>
    </row>
    <row r="88" spans="2:9" x14ac:dyDescent="0.3">
      <c r="B88" s="7"/>
      <c r="C88" s="1"/>
      <c r="D88" s="1"/>
      <c r="E88" s="5"/>
      <c r="F88" s="1"/>
      <c r="G88" s="1"/>
      <c r="H88" s="1"/>
      <c r="I88" s="1"/>
    </row>
    <row r="89" spans="2:9" x14ac:dyDescent="0.3">
      <c r="B89" s="7"/>
      <c r="C89" s="1"/>
      <c r="D89" s="1"/>
      <c r="E89" s="5"/>
      <c r="F89" s="1"/>
      <c r="G89" s="1"/>
      <c r="H89" s="1"/>
      <c r="I89" s="1"/>
    </row>
    <row r="90" spans="2:9" x14ac:dyDescent="0.3">
      <c r="B90" s="7"/>
      <c r="C90" s="1"/>
      <c r="D90" s="1"/>
      <c r="E90" s="5"/>
      <c r="F90" s="1"/>
      <c r="G90" s="1"/>
      <c r="H90" s="1"/>
      <c r="I90" s="1"/>
    </row>
    <row r="91" spans="2:9" x14ac:dyDescent="0.3">
      <c r="B91" s="7"/>
      <c r="C91" s="1"/>
      <c r="D91" s="1"/>
      <c r="E91" s="5"/>
      <c r="F91" s="1"/>
      <c r="G91" s="1"/>
      <c r="H91" s="1"/>
      <c r="I91" s="1"/>
    </row>
    <row r="92" spans="2:9" x14ac:dyDescent="0.3">
      <c r="B92" s="7"/>
      <c r="C92" s="1"/>
      <c r="D92" s="1"/>
      <c r="E92" s="5"/>
      <c r="F92" s="1"/>
      <c r="G92" s="1"/>
      <c r="H92" s="1"/>
      <c r="I92" s="1"/>
    </row>
    <row r="93" spans="2:9" x14ac:dyDescent="0.3">
      <c r="B93" s="7"/>
      <c r="C93" s="1"/>
      <c r="D93" s="1"/>
      <c r="E93" s="5"/>
      <c r="F93" s="1"/>
      <c r="G93" s="1"/>
      <c r="H93" s="1"/>
      <c r="I93" s="1"/>
    </row>
    <row r="94" spans="2:9" x14ac:dyDescent="0.3">
      <c r="B94" s="7"/>
      <c r="C94" s="1"/>
      <c r="D94" s="1"/>
      <c r="E94" s="5"/>
      <c r="F94" s="1"/>
      <c r="G94" s="1"/>
      <c r="H94" s="1"/>
      <c r="I94" s="1"/>
    </row>
    <row r="95" spans="2:9" x14ac:dyDescent="0.3">
      <c r="B95" s="7"/>
      <c r="C95" s="1"/>
      <c r="D95" s="1"/>
      <c r="E95" s="5"/>
      <c r="F95" s="1"/>
      <c r="G95" s="1"/>
      <c r="H95" s="1"/>
      <c r="I95" s="1"/>
    </row>
    <row r="96" spans="2:9" x14ac:dyDescent="0.3">
      <c r="B96" s="7"/>
      <c r="C96" s="1"/>
      <c r="D96" s="1"/>
      <c r="E96" s="5"/>
      <c r="F96" s="1"/>
      <c r="G96" s="1"/>
      <c r="H96" s="1"/>
      <c r="I96" s="1"/>
    </row>
    <row r="97" spans="2:9" x14ac:dyDescent="0.3">
      <c r="B97" s="7"/>
      <c r="C97" s="1"/>
      <c r="D97" s="1"/>
      <c r="E97" s="5"/>
      <c r="F97" s="1"/>
      <c r="G97" s="1"/>
      <c r="H97" s="1"/>
      <c r="I97" s="1"/>
    </row>
    <row r="98" spans="2:9" x14ac:dyDescent="0.3">
      <c r="B98" s="7"/>
      <c r="C98" s="1"/>
      <c r="D98" s="1"/>
      <c r="E98" s="5"/>
      <c r="F98" s="1"/>
      <c r="G98" s="1"/>
      <c r="H98" s="1"/>
      <c r="I98" s="1"/>
    </row>
    <row r="99" spans="2:9" x14ac:dyDescent="0.3">
      <c r="B99" s="7"/>
      <c r="C99" s="1"/>
      <c r="D99" s="1"/>
      <c r="E99" s="5"/>
      <c r="F99" s="1"/>
      <c r="G99" s="1"/>
      <c r="H99" s="1"/>
      <c r="I99" s="1"/>
    </row>
    <row r="100" spans="2:9" x14ac:dyDescent="0.3">
      <c r="B100" s="7"/>
      <c r="C100" s="1"/>
      <c r="D100" s="1"/>
      <c r="E100" s="5"/>
      <c r="F100" s="1"/>
      <c r="G100" s="1"/>
      <c r="H100" s="1"/>
      <c r="I100" s="1"/>
    </row>
    <row r="101" spans="2:9" x14ac:dyDescent="0.3">
      <c r="B101" s="7"/>
      <c r="C101" s="1"/>
      <c r="D101" s="1"/>
      <c r="E101" s="5"/>
      <c r="F101" s="1"/>
      <c r="G101" s="1"/>
      <c r="H101" s="1"/>
      <c r="I101" s="1"/>
    </row>
    <row r="102" spans="2:9" x14ac:dyDescent="0.3">
      <c r="B102" s="7"/>
      <c r="C102" s="1"/>
      <c r="D102" s="1"/>
      <c r="E102" s="5"/>
      <c r="F102" s="1"/>
      <c r="G102" s="1"/>
      <c r="H102" s="1"/>
      <c r="I102" s="1"/>
    </row>
    <row r="103" spans="2:9" x14ac:dyDescent="0.3">
      <c r="B103" s="7"/>
      <c r="C103" s="1"/>
      <c r="D103" s="1"/>
      <c r="E103" s="5"/>
      <c r="F103" s="1"/>
      <c r="G103" s="1"/>
      <c r="H103" s="1"/>
      <c r="I103" s="1"/>
    </row>
    <row r="104" spans="2:9" x14ac:dyDescent="0.3">
      <c r="B104" s="7"/>
      <c r="C104" s="1"/>
      <c r="D104" s="1"/>
      <c r="E104" s="5"/>
      <c r="F104" s="1"/>
      <c r="G104" s="1"/>
      <c r="H104" s="1"/>
      <c r="I104" s="1"/>
    </row>
    <row r="105" spans="2:9" x14ac:dyDescent="0.3">
      <c r="B105" s="7"/>
      <c r="C105" s="1"/>
      <c r="D105" s="1"/>
      <c r="E105" s="5"/>
      <c r="F105" s="1"/>
      <c r="G105" s="1"/>
      <c r="H105" s="1"/>
      <c r="I105" s="1"/>
    </row>
    <row r="106" spans="2:9" x14ac:dyDescent="0.3">
      <c r="B106" s="7"/>
      <c r="C106" s="1"/>
      <c r="D106" s="1"/>
      <c r="E106" s="5"/>
      <c r="F106" s="1"/>
      <c r="G106" s="1"/>
      <c r="H106" s="1"/>
      <c r="I106" s="1"/>
    </row>
    <row r="107" spans="2:9" x14ac:dyDescent="0.3">
      <c r="B107" s="7"/>
      <c r="C107" s="1"/>
      <c r="D107" s="1"/>
      <c r="E107" s="5"/>
      <c r="F107" s="1"/>
      <c r="G107" s="1"/>
      <c r="H107" s="1"/>
      <c r="I107" s="1"/>
    </row>
    <row r="108" spans="2:9" x14ac:dyDescent="0.3">
      <c r="B108" s="7"/>
      <c r="C108" s="1"/>
      <c r="D108" s="1"/>
      <c r="E108" s="5"/>
      <c r="F108" s="1"/>
      <c r="G108" s="1"/>
      <c r="H108" s="1"/>
      <c r="I108" s="1"/>
    </row>
    <row r="109" spans="2:9" x14ac:dyDescent="0.3">
      <c r="B109" s="7"/>
      <c r="C109" s="1"/>
      <c r="D109" s="1"/>
      <c r="E109" s="5"/>
      <c r="F109" s="1"/>
      <c r="G109" s="1"/>
      <c r="H109" s="1"/>
      <c r="I109" s="1"/>
    </row>
    <row r="110" spans="2:9" x14ac:dyDescent="0.3">
      <c r="B110" s="7"/>
      <c r="C110" s="1"/>
      <c r="D110" s="1"/>
      <c r="E110" s="5"/>
      <c r="F110" s="1"/>
      <c r="G110" s="1"/>
      <c r="H110" s="1"/>
      <c r="I110" s="1"/>
    </row>
    <row r="111" spans="2:9" x14ac:dyDescent="0.3">
      <c r="B111" s="7"/>
      <c r="C111" s="1"/>
      <c r="D111" s="1"/>
      <c r="E111" s="5"/>
      <c r="F111" s="1"/>
      <c r="G111" s="1"/>
      <c r="H111" s="1"/>
      <c r="I111" s="1"/>
    </row>
    <row r="112" spans="2:9" x14ac:dyDescent="0.3">
      <c r="B112" s="7"/>
      <c r="C112" s="1"/>
      <c r="D112" s="1"/>
      <c r="E112" s="5"/>
      <c r="F112" s="1"/>
      <c r="G112" s="1"/>
      <c r="H112" s="1"/>
      <c r="I112" s="1"/>
    </row>
    <row r="113" spans="2:9" x14ac:dyDescent="0.3">
      <c r="B113" s="7"/>
      <c r="C113" s="1"/>
      <c r="D113" s="1"/>
      <c r="E113" s="5"/>
      <c r="F113" s="1"/>
      <c r="G113" s="1"/>
      <c r="H113" s="1"/>
      <c r="I113" s="1"/>
    </row>
    <row r="114" spans="2:9" x14ac:dyDescent="0.3">
      <c r="B114" s="7"/>
      <c r="C114" s="1"/>
      <c r="D114" s="1"/>
      <c r="E114" s="5"/>
      <c r="F114" s="1"/>
      <c r="G114" s="1"/>
      <c r="H114" s="1"/>
      <c r="I114" s="1"/>
    </row>
    <row r="115" spans="2:9" x14ac:dyDescent="0.3">
      <c r="B115" s="7"/>
      <c r="C115" s="1"/>
      <c r="D115" s="1"/>
      <c r="E115" s="5"/>
      <c r="F115" s="1"/>
      <c r="G115" s="1"/>
      <c r="H115" s="1"/>
      <c r="I115" s="1"/>
    </row>
    <row r="116" spans="2:9" x14ac:dyDescent="0.3">
      <c r="B116" s="7"/>
      <c r="C116" s="1"/>
      <c r="D116" s="1"/>
      <c r="E116" s="5"/>
      <c r="F116" s="1"/>
      <c r="G116" s="1"/>
      <c r="H116" s="1"/>
      <c r="I116" s="1"/>
    </row>
    <row r="117" spans="2:9" x14ac:dyDescent="0.3">
      <c r="B117" s="7"/>
      <c r="C117" s="1"/>
      <c r="D117" s="1"/>
      <c r="E117" s="5"/>
      <c r="F117" s="1"/>
      <c r="G117" s="1"/>
      <c r="H117" s="1"/>
      <c r="I117" s="1"/>
    </row>
    <row r="118" spans="2:9" x14ac:dyDescent="0.3">
      <c r="B118" s="7"/>
      <c r="C118" s="1"/>
      <c r="D118" s="1"/>
      <c r="E118" s="5"/>
      <c r="F118" s="1"/>
      <c r="G118" s="1"/>
      <c r="H118" s="1"/>
      <c r="I118" s="1"/>
    </row>
    <row r="119" spans="2:9" x14ac:dyDescent="0.3">
      <c r="B119" s="7"/>
      <c r="C119" s="1"/>
      <c r="D119" s="1"/>
      <c r="E119" s="5"/>
      <c r="F119" s="1"/>
      <c r="G119" s="1"/>
      <c r="H119" s="1"/>
      <c r="I119" s="1"/>
    </row>
    <row r="120" spans="2:9" x14ac:dyDescent="0.3">
      <c r="B120" s="7"/>
      <c r="C120" s="1"/>
      <c r="D120" s="1"/>
      <c r="E120" s="5"/>
      <c r="F120" s="1"/>
      <c r="G120" s="1"/>
      <c r="H120" s="1"/>
      <c r="I120" s="1"/>
    </row>
    <row r="121" spans="2:9" x14ac:dyDescent="0.3">
      <c r="B121" s="7"/>
      <c r="C121" s="1"/>
      <c r="D121" s="1"/>
      <c r="E121" s="5"/>
      <c r="F121" s="1"/>
      <c r="G121" s="1"/>
      <c r="H121" s="1"/>
      <c r="I121" s="1"/>
    </row>
    <row r="122" spans="2:9" x14ac:dyDescent="0.3">
      <c r="B122" s="7"/>
      <c r="C122" s="1"/>
      <c r="D122" s="1"/>
      <c r="E122" s="5"/>
    </row>
    <row r="123" spans="2:9" x14ac:dyDescent="0.3">
      <c r="B123" s="7"/>
      <c r="C123" s="1"/>
      <c r="D123" s="1"/>
      <c r="E123" s="5"/>
    </row>
    <row r="124" spans="2:9" x14ac:dyDescent="0.3">
      <c r="B124" s="7"/>
      <c r="C124" s="1"/>
      <c r="D124" s="1"/>
      <c r="E124" s="5"/>
    </row>
    <row r="125" spans="2:9" x14ac:dyDescent="0.3">
      <c r="B125" s="7"/>
      <c r="C125" s="1"/>
      <c r="D125" s="1"/>
      <c r="E125" s="5"/>
    </row>
    <row r="126" spans="2:9" x14ac:dyDescent="0.3">
      <c r="B126" s="7"/>
      <c r="C126" s="1"/>
      <c r="D126" s="1"/>
      <c r="E126" s="5"/>
    </row>
    <row r="127" spans="2:9" x14ac:dyDescent="0.3">
      <c r="B127" s="7"/>
      <c r="C127" s="1"/>
      <c r="D127" s="1"/>
      <c r="E127" s="5"/>
    </row>
    <row r="128" spans="2:9" x14ac:dyDescent="0.3">
      <c r="B128" s="7"/>
      <c r="C128" s="1"/>
      <c r="D128" s="1"/>
      <c r="E128" s="5"/>
    </row>
    <row r="129" spans="2:5" x14ac:dyDescent="0.3">
      <c r="B129" s="7"/>
      <c r="C129" s="1"/>
      <c r="D129" s="1"/>
      <c r="E129" s="5"/>
    </row>
    <row r="130" spans="2:5" x14ac:dyDescent="0.3">
      <c r="B130" s="7"/>
      <c r="C130" s="1"/>
      <c r="D130" s="1"/>
      <c r="E130" s="5"/>
    </row>
    <row r="131" spans="2:5" x14ac:dyDescent="0.3">
      <c r="B131" s="7"/>
      <c r="C131" s="1"/>
      <c r="D131" s="1"/>
      <c r="E131" s="5"/>
    </row>
    <row r="132" spans="2:5" x14ac:dyDescent="0.3">
      <c r="B132" s="7"/>
      <c r="C132" s="1"/>
      <c r="D132" s="1"/>
      <c r="E132" s="5"/>
    </row>
    <row r="133" spans="2:5" x14ac:dyDescent="0.3">
      <c r="B133" s="7"/>
      <c r="C133" s="1"/>
      <c r="D133" s="1"/>
      <c r="E133" s="5"/>
    </row>
    <row r="134" spans="2:5" x14ac:dyDescent="0.3">
      <c r="B134" s="7"/>
      <c r="C134" s="1"/>
      <c r="D134" s="1"/>
      <c r="E134" s="5"/>
    </row>
    <row r="135" spans="2:5" x14ac:dyDescent="0.3">
      <c r="B135" s="7"/>
      <c r="C135" s="1"/>
      <c r="D135" s="1"/>
      <c r="E135" s="5"/>
    </row>
    <row r="136" spans="2:5" x14ac:dyDescent="0.3">
      <c r="B136" s="7"/>
      <c r="C136" s="1"/>
      <c r="D136" s="1"/>
      <c r="E136" s="5"/>
    </row>
    <row r="137" spans="2:5" x14ac:dyDescent="0.3">
      <c r="B137" s="7"/>
      <c r="C137" s="1"/>
      <c r="D137" s="1"/>
      <c r="E137" s="5"/>
    </row>
    <row r="138" spans="2:5" x14ac:dyDescent="0.3">
      <c r="B138" s="7"/>
      <c r="C138" s="1"/>
      <c r="D138" s="1"/>
      <c r="E138" s="5"/>
    </row>
    <row r="139" spans="2:5" x14ac:dyDescent="0.3">
      <c r="B139" s="7"/>
      <c r="C139" s="1"/>
      <c r="D139" s="1"/>
      <c r="E139" s="5"/>
    </row>
    <row r="140" spans="2:5" x14ac:dyDescent="0.3">
      <c r="B140" s="7"/>
      <c r="C140" s="1"/>
      <c r="D140" s="1"/>
      <c r="E140" s="5"/>
    </row>
    <row r="141" spans="2:5" x14ac:dyDescent="0.3">
      <c r="B141" s="7"/>
      <c r="C141" s="1"/>
      <c r="D141" s="1"/>
      <c r="E141" s="5"/>
    </row>
    <row r="142" spans="2:5" x14ac:dyDescent="0.3">
      <c r="B142" s="7"/>
      <c r="C142" s="1"/>
      <c r="D142" s="1"/>
      <c r="E142" s="5"/>
    </row>
    <row r="143" spans="2:5" x14ac:dyDescent="0.3">
      <c r="B143" s="7"/>
      <c r="C143" s="1"/>
      <c r="D143" s="1"/>
      <c r="E143" s="5"/>
    </row>
    <row r="144" spans="2:5" x14ac:dyDescent="0.3">
      <c r="B144" s="7"/>
      <c r="C144" s="1"/>
      <c r="D144" s="1"/>
      <c r="E144" s="5"/>
    </row>
    <row r="145" spans="2:5" x14ac:dyDescent="0.3">
      <c r="B145" s="7"/>
      <c r="C145" s="1"/>
      <c r="D145" s="1"/>
      <c r="E145" s="5"/>
    </row>
    <row r="146" spans="2:5" x14ac:dyDescent="0.3">
      <c r="B146" s="7"/>
      <c r="C146" s="1"/>
      <c r="D146" s="1"/>
      <c r="E146" s="5"/>
    </row>
    <row r="147" spans="2:5" x14ac:dyDescent="0.3">
      <c r="B147" s="7"/>
      <c r="C147" s="1"/>
      <c r="D147" s="1"/>
      <c r="E147" s="5"/>
    </row>
    <row r="148" spans="2:5" x14ac:dyDescent="0.3">
      <c r="B148" s="7"/>
      <c r="C148" s="1"/>
      <c r="D148" s="1"/>
      <c r="E148" s="5"/>
    </row>
    <row r="149" spans="2:5" x14ac:dyDescent="0.3">
      <c r="B149" s="7"/>
      <c r="C149" s="1"/>
      <c r="D149" s="1"/>
      <c r="E149" s="5"/>
    </row>
    <row r="150" spans="2:5" x14ac:dyDescent="0.3">
      <c r="B150" s="7"/>
      <c r="C150" s="1"/>
      <c r="D150" s="1"/>
      <c r="E150" s="5"/>
    </row>
    <row r="151" spans="2:5" x14ac:dyDescent="0.3">
      <c r="B151" s="7"/>
      <c r="C151" s="1"/>
      <c r="D151" s="1"/>
      <c r="E151" s="5"/>
    </row>
    <row r="152" spans="2:5" x14ac:dyDescent="0.3">
      <c r="B152" s="7"/>
      <c r="C152" s="1"/>
      <c r="D152" s="1"/>
      <c r="E152" s="5"/>
    </row>
    <row r="153" spans="2:5" x14ac:dyDescent="0.3">
      <c r="B153" s="7"/>
      <c r="C153" s="1"/>
      <c r="D153" s="1"/>
      <c r="E153" s="5"/>
    </row>
    <row r="154" spans="2:5" x14ac:dyDescent="0.3">
      <c r="B154" s="7"/>
      <c r="C154" s="1"/>
      <c r="D154" s="1"/>
      <c r="E154" s="5"/>
    </row>
    <row r="155" spans="2:5" x14ac:dyDescent="0.3">
      <c r="B155" s="7"/>
      <c r="C155" s="1"/>
      <c r="D155" s="1"/>
      <c r="E155" s="5"/>
    </row>
    <row r="156" spans="2:5" x14ac:dyDescent="0.3">
      <c r="B156" s="7"/>
      <c r="C156" s="1"/>
      <c r="D156" s="1"/>
      <c r="E156" s="5"/>
    </row>
    <row r="157" spans="2:5" x14ac:dyDescent="0.3">
      <c r="B157" s="7"/>
      <c r="C157" s="1"/>
      <c r="D157" s="1"/>
      <c r="E157" s="5"/>
    </row>
    <row r="158" spans="2:5" x14ac:dyDescent="0.3">
      <c r="B158" s="7"/>
      <c r="C158" s="1"/>
      <c r="D158" s="1"/>
      <c r="E158" s="5"/>
    </row>
    <row r="159" spans="2:5" x14ac:dyDescent="0.3">
      <c r="B159" s="7"/>
      <c r="C159" s="1"/>
      <c r="D159" s="1"/>
      <c r="E159" s="5"/>
    </row>
    <row r="160" spans="2:5" x14ac:dyDescent="0.3">
      <c r="B160" s="7"/>
      <c r="C160" s="1"/>
      <c r="D160" s="1"/>
      <c r="E160" s="5"/>
    </row>
    <row r="161" spans="2:5" x14ac:dyDescent="0.3">
      <c r="B161" s="7"/>
      <c r="C161" s="1"/>
      <c r="D161" s="1"/>
      <c r="E161" s="5"/>
    </row>
    <row r="162" spans="2:5" x14ac:dyDescent="0.3">
      <c r="B162" s="7"/>
      <c r="C162" s="1"/>
      <c r="D162" s="1"/>
      <c r="E162" s="5"/>
    </row>
    <row r="163" spans="2:5" x14ac:dyDescent="0.3">
      <c r="B163" s="7"/>
      <c r="C163" s="1"/>
      <c r="D163" s="1"/>
      <c r="E163" s="5"/>
    </row>
    <row r="164" spans="2:5" x14ac:dyDescent="0.3">
      <c r="B164" s="7"/>
      <c r="C164" s="1"/>
      <c r="D164" s="1"/>
      <c r="E164" s="5"/>
    </row>
    <row r="165" spans="2:5" x14ac:dyDescent="0.3">
      <c r="B165" s="7"/>
      <c r="C165" s="1"/>
      <c r="D165" s="1"/>
      <c r="E165" s="5"/>
    </row>
    <row r="166" spans="2:5" x14ac:dyDescent="0.3">
      <c r="B166" s="7"/>
      <c r="C166" s="1"/>
      <c r="D166" s="1"/>
      <c r="E166" s="5"/>
    </row>
    <row r="167" spans="2:5" x14ac:dyDescent="0.3">
      <c r="B167" s="7"/>
      <c r="C167" s="1"/>
      <c r="D167" s="1"/>
      <c r="E167" s="5"/>
    </row>
    <row r="168" spans="2:5" x14ac:dyDescent="0.3">
      <c r="B168" s="7"/>
      <c r="C168" s="1"/>
      <c r="D168" s="1"/>
      <c r="E168" s="5"/>
    </row>
    <row r="169" spans="2:5" x14ac:dyDescent="0.3">
      <c r="B169" s="7"/>
      <c r="C169" s="1"/>
      <c r="D169" s="1"/>
      <c r="E169" s="5"/>
    </row>
    <row r="170" spans="2:5" x14ac:dyDescent="0.3">
      <c r="B170" s="7"/>
      <c r="C170" s="1"/>
      <c r="D170" s="1"/>
      <c r="E170" s="5"/>
    </row>
    <row r="171" spans="2:5" x14ac:dyDescent="0.3">
      <c r="B171" s="7"/>
      <c r="C171" s="1"/>
      <c r="D171" s="1"/>
      <c r="E171" s="5"/>
    </row>
    <row r="172" spans="2:5" x14ac:dyDescent="0.3">
      <c r="B172" s="7"/>
      <c r="C172" s="1"/>
      <c r="D172" s="1"/>
      <c r="E172" s="5"/>
    </row>
    <row r="173" spans="2:5" x14ac:dyDescent="0.3">
      <c r="B173" s="7"/>
      <c r="C173" s="1"/>
      <c r="D173" s="1"/>
      <c r="E173" s="5"/>
    </row>
    <row r="174" spans="2:5" x14ac:dyDescent="0.3">
      <c r="B174" s="7"/>
      <c r="C174" s="1"/>
      <c r="D174" s="1"/>
      <c r="E174" s="5"/>
    </row>
    <row r="175" spans="2:5" x14ac:dyDescent="0.3">
      <c r="B175" s="7"/>
      <c r="C175" s="1"/>
      <c r="D175" s="1"/>
      <c r="E175" s="5"/>
    </row>
    <row r="176" spans="2:5" x14ac:dyDescent="0.3">
      <c r="B176" s="7"/>
      <c r="C176" s="1"/>
      <c r="D176" s="1"/>
      <c r="E176" s="5"/>
    </row>
    <row r="177" spans="2:5" x14ac:dyDescent="0.3">
      <c r="B177" s="7"/>
      <c r="C177" s="1"/>
      <c r="D177" s="1"/>
      <c r="E177" s="5"/>
    </row>
    <row r="178" spans="2:5" x14ac:dyDescent="0.3">
      <c r="B178" s="7"/>
      <c r="C178" s="1"/>
      <c r="D178" s="1"/>
      <c r="E178" s="5"/>
    </row>
    <row r="179" spans="2:5" x14ac:dyDescent="0.3">
      <c r="B179" s="7"/>
      <c r="C179" s="1"/>
      <c r="D179" s="1"/>
      <c r="E179" s="5"/>
    </row>
    <row r="180" spans="2:5" x14ac:dyDescent="0.3">
      <c r="B180" s="7"/>
      <c r="C180" s="1"/>
      <c r="D180" s="1"/>
      <c r="E180" s="5"/>
    </row>
    <row r="181" spans="2:5" x14ac:dyDescent="0.3">
      <c r="B181" s="7"/>
      <c r="C181" s="1"/>
      <c r="D181" s="1"/>
      <c r="E181" s="5"/>
    </row>
    <row r="182" spans="2:5" x14ac:dyDescent="0.3">
      <c r="B182" s="7"/>
      <c r="C182" s="1"/>
      <c r="D182" s="1"/>
      <c r="E182" s="5"/>
    </row>
    <row r="183" spans="2:5" x14ac:dyDescent="0.3">
      <c r="B183" s="7"/>
      <c r="C183" s="1"/>
      <c r="D183" s="1"/>
      <c r="E183" s="5"/>
    </row>
    <row r="184" spans="2:5" x14ac:dyDescent="0.3">
      <c r="B184" s="7"/>
      <c r="C184" s="1"/>
      <c r="D184" s="1"/>
      <c r="E184" s="5"/>
    </row>
    <row r="185" spans="2:5" x14ac:dyDescent="0.3">
      <c r="B185" s="7"/>
      <c r="C185" s="1"/>
      <c r="D185" s="1"/>
      <c r="E185" s="5"/>
    </row>
    <row r="186" spans="2:5" x14ac:dyDescent="0.3">
      <c r="B186" s="7"/>
      <c r="C186" s="1"/>
      <c r="D186" s="1"/>
      <c r="E186" s="5"/>
    </row>
    <row r="187" spans="2:5" x14ac:dyDescent="0.3">
      <c r="B187" s="7"/>
      <c r="C187" s="1"/>
      <c r="D187" s="1"/>
      <c r="E187" s="5"/>
    </row>
    <row r="188" spans="2:5" x14ac:dyDescent="0.3">
      <c r="B188" s="7"/>
      <c r="C188" s="1"/>
      <c r="D188" s="1"/>
      <c r="E188" s="5"/>
    </row>
    <row r="189" spans="2:5" x14ac:dyDescent="0.3">
      <c r="B189" s="7"/>
      <c r="C189" s="1"/>
      <c r="D189" s="1"/>
      <c r="E189" s="5"/>
    </row>
    <row r="190" spans="2:5" x14ac:dyDescent="0.3">
      <c r="B190" s="7"/>
      <c r="C190" s="1"/>
      <c r="D190" s="1"/>
      <c r="E190" s="5"/>
    </row>
    <row r="191" spans="2:5" x14ac:dyDescent="0.3">
      <c r="B191" s="7"/>
      <c r="C191" s="1"/>
      <c r="D191" s="1"/>
      <c r="E191" s="5"/>
    </row>
    <row r="192" spans="2:5" x14ac:dyDescent="0.3">
      <c r="B192" s="7"/>
      <c r="C192" s="1"/>
      <c r="D192" s="1"/>
      <c r="E192" s="5"/>
    </row>
    <row r="193" spans="2:5" x14ac:dyDescent="0.3">
      <c r="B193" s="7"/>
      <c r="C193" s="1"/>
      <c r="D193" s="1"/>
      <c r="E193" s="5"/>
    </row>
    <row r="194" spans="2:5" x14ac:dyDescent="0.3">
      <c r="B194" s="7"/>
      <c r="C194" s="1"/>
      <c r="D194" s="1"/>
      <c r="E194" s="5"/>
    </row>
    <row r="195" spans="2:5" x14ac:dyDescent="0.3">
      <c r="B195" s="7"/>
      <c r="C195" s="1"/>
      <c r="D195" s="1"/>
      <c r="E195" s="5"/>
    </row>
    <row r="196" spans="2:5" x14ac:dyDescent="0.3">
      <c r="B196" s="7"/>
      <c r="C196" s="1"/>
      <c r="D196" s="1"/>
      <c r="E196" s="5"/>
    </row>
    <row r="197" spans="2:5" x14ac:dyDescent="0.3">
      <c r="B197" s="7"/>
      <c r="C197" s="1"/>
      <c r="D197" s="1"/>
      <c r="E197" s="5"/>
    </row>
    <row r="198" spans="2:5" x14ac:dyDescent="0.3">
      <c r="B198" s="7"/>
      <c r="C198" s="1"/>
      <c r="D198" s="1"/>
      <c r="E198" s="5"/>
    </row>
    <row r="199" spans="2:5" x14ac:dyDescent="0.3">
      <c r="B199" s="7"/>
      <c r="C199" s="1"/>
      <c r="D199" s="1"/>
      <c r="E199" s="5"/>
    </row>
    <row r="200" spans="2:5" x14ac:dyDescent="0.3">
      <c r="B200" s="7"/>
      <c r="C200" s="1"/>
      <c r="D200" s="1"/>
      <c r="E200" s="5"/>
    </row>
    <row r="201" spans="2:5" x14ac:dyDescent="0.3">
      <c r="B201" s="7"/>
      <c r="C201" s="1"/>
      <c r="D201" s="1"/>
      <c r="E201" s="5"/>
    </row>
    <row r="202" spans="2:5" x14ac:dyDescent="0.3">
      <c r="B202" s="7"/>
      <c r="C202" s="1"/>
      <c r="D202" s="1"/>
      <c r="E202" s="5"/>
    </row>
    <row r="203" spans="2:5" x14ac:dyDescent="0.3">
      <c r="B203" s="7"/>
      <c r="C203" s="1"/>
      <c r="D203" s="1"/>
      <c r="E203" s="5"/>
    </row>
    <row r="204" spans="2:5" x14ac:dyDescent="0.3">
      <c r="B204" s="7"/>
      <c r="C204" s="1"/>
      <c r="D204" s="1"/>
      <c r="E204" s="5"/>
    </row>
    <row r="205" spans="2:5" x14ac:dyDescent="0.3">
      <c r="B205" s="7"/>
      <c r="C205" s="1"/>
      <c r="D205" s="1"/>
      <c r="E205" s="5"/>
    </row>
    <row r="206" spans="2:5" x14ac:dyDescent="0.3">
      <c r="B206" s="7"/>
      <c r="C206" s="1"/>
      <c r="D206" s="1"/>
      <c r="E206" s="5"/>
    </row>
    <row r="207" spans="2:5" x14ac:dyDescent="0.3">
      <c r="B207" s="7"/>
      <c r="C207" s="1"/>
      <c r="D207" s="1"/>
      <c r="E207" s="5"/>
    </row>
    <row r="208" spans="2:5" x14ac:dyDescent="0.3">
      <c r="B208" s="7"/>
      <c r="C208" s="1"/>
      <c r="D208" s="1"/>
      <c r="E208" s="5"/>
    </row>
    <row r="209" spans="2:5" x14ac:dyDescent="0.3">
      <c r="B209" s="7"/>
      <c r="C209" s="1"/>
      <c r="D209" s="1"/>
      <c r="E209" s="5"/>
    </row>
    <row r="210" spans="2:5" x14ac:dyDescent="0.3">
      <c r="B210" s="7"/>
      <c r="C210" s="1"/>
      <c r="D210" s="1"/>
      <c r="E210" s="5"/>
    </row>
    <row r="211" spans="2:5" x14ac:dyDescent="0.3">
      <c r="B211" s="7"/>
      <c r="C211" s="1"/>
      <c r="D211" s="1"/>
      <c r="E211" s="5"/>
    </row>
    <row r="212" spans="2:5" x14ac:dyDescent="0.3">
      <c r="B212" s="7"/>
      <c r="C212" s="1"/>
      <c r="D212" s="1"/>
      <c r="E212" s="5"/>
    </row>
    <row r="213" spans="2:5" x14ac:dyDescent="0.3">
      <c r="B213" s="7"/>
      <c r="C213" s="1"/>
      <c r="D213" s="1"/>
      <c r="E213" s="5"/>
    </row>
    <row r="214" spans="2:5" x14ac:dyDescent="0.3">
      <c r="B214" s="7"/>
      <c r="C214" s="1"/>
      <c r="D214" s="1"/>
      <c r="E214" s="5"/>
    </row>
    <row r="215" spans="2:5" x14ac:dyDescent="0.3">
      <c r="B215" s="7"/>
      <c r="C215" s="1"/>
      <c r="D215" s="1"/>
      <c r="E215" s="5"/>
    </row>
    <row r="216" spans="2:5" x14ac:dyDescent="0.3">
      <c r="B216" s="7"/>
      <c r="C216" s="1"/>
      <c r="D216" s="1"/>
      <c r="E216" s="5"/>
    </row>
    <row r="217" spans="2:5" x14ac:dyDescent="0.3">
      <c r="B217" s="7"/>
      <c r="C217" s="1"/>
      <c r="D217" s="1"/>
      <c r="E217" s="5"/>
    </row>
    <row r="218" spans="2:5" x14ac:dyDescent="0.3">
      <c r="B218" s="7"/>
      <c r="C218" s="1"/>
      <c r="D218" s="1"/>
      <c r="E218" s="5"/>
    </row>
    <row r="219" spans="2:5" x14ac:dyDescent="0.3">
      <c r="B219" s="7"/>
      <c r="C219" s="1"/>
      <c r="D219" s="1"/>
      <c r="E219" s="5"/>
    </row>
    <row r="220" spans="2:5" x14ac:dyDescent="0.3">
      <c r="B220" s="7"/>
      <c r="C220" s="1"/>
      <c r="D220" s="1"/>
      <c r="E220" s="5"/>
    </row>
    <row r="221" spans="2:5" x14ac:dyDescent="0.3">
      <c r="B221" s="7"/>
      <c r="C221" s="1"/>
      <c r="D221" s="1"/>
      <c r="E221" s="5"/>
    </row>
    <row r="222" spans="2:5" x14ac:dyDescent="0.3">
      <c r="B222" s="7"/>
      <c r="C222" s="1"/>
      <c r="D222" s="1"/>
      <c r="E222" s="5"/>
    </row>
    <row r="223" spans="2:5" x14ac:dyDescent="0.3">
      <c r="B223" s="7"/>
      <c r="C223" s="1"/>
      <c r="D223" s="1"/>
      <c r="E223" s="5"/>
    </row>
    <row r="224" spans="2:5" x14ac:dyDescent="0.3">
      <c r="B224" s="7"/>
      <c r="C224" s="1"/>
      <c r="D224" s="1"/>
      <c r="E224" s="5"/>
    </row>
    <row r="225" spans="2:5" x14ac:dyDescent="0.3">
      <c r="B225" s="7"/>
      <c r="C225" s="1"/>
      <c r="D225" s="1"/>
      <c r="E225" s="5"/>
    </row>
    <row r="226" spans="2:5" x14ac:dyDescent="0.3">
      <c r="B226" s="7"/>
      <c r="C226" s="1"/>
      <c r="D226" s="1"/>
      <c r="E226" s="5"/>
    </row>
    <row r="227" spans="2:5" x14ac:dyDescent="0.3">
      <c r="B227" s="7"/>
      <c r="C227" s="1"/>
      <c r="D227" s="1"/>
      <c r="E227" s="5"/>
    </row>
    <row r="228" spans="2:5" x14ac:dyDescent="0.3">
      <c r="B228" s="7"/>
      <c r="C228" s="1"/>
      <c r="D228" s="1"/>
      <c r="E228" s="5"/>
    </row>
    <row r="229" spans="2:5" x14ac:dyDescent="0.3">
      <c r="B229" s="7"/>
      <c r="C229" s="1"/>
      <c r="D229" s="1"/>
      <c r="E229" s="5"/>
    </row>
    <row r="230" spans="2:5" x14ac:dyDescent="0.3">
      <c r="B230" s="7"/>
      <c r="C230" s="1"/>
      <c r="D230" s="1"/>
      <c r="E230" s="5"/>
    </row>
    <row r="231" spans="2:5" x14ac:dyDescent="0.3">
      <c r="B231" s="7"/>
      <c r="C231" s="1"/>
      <c r="D231" s="1"/>
      <c r="E231" s="5"/>
    </row>
    <row r="232" spans="2:5" x14ac:dyDescent="0.3">
      <c r="B232" s="7"/>
      <c r="C232" s="1"/>
      <c r="D232" s="1"/>
      <c r="E232" s="5"/>
    </row>
    <row r="233" spans="2:5" x14ac:dyDescent="0.3">
      <c r="B233" s="7"/>
      <c r="C233" s="1"/>
      <c r="D233" s="1"/>
      <c r="E233" s="5"/>
    </row>
    <row r="234" spans="2:5" x14ac:dyDescent="0.3">
      <c r="B234" s="7"/>
      <c r="C234" s="1"/>
      <c r="D234" s="1"/>
      <c r="E234" s="5"/>
    </row>
    <row r="235" spans="2:5" x14ac:dyDescent="0.3">
      <c r="B235" s="7"/>
      <c r="C235" s="1"/>
      <c r="D235" s="1"/>
      <c r="E235" s="5"/>
    </row>
    <row r="236" spans="2:5" x14ac:dyDescent="0.3">
      <c r="B236" s="7"/>
      <c r="C236" s="1"/>
      <c r="D236" s="1"/>
      <c r="E236" s="5"/>
    </row>
    <row r="237" spans="2:5" x14ac:dyDescent="0.3">
      <c r="B237" s="7"/>
      <c r="C237" s="1"/>
      <c r="D237" s="1"/>
      <c r="E237" s="5"/>
    </row>
    <row r="238" spans="2:5" x14ac:dyDescent="0.3">
      <c r="B238" s="7"/>
      <c r="C238" s="1"/>
      <c r="D238" s="1"/>
      <c r="E238" s="5"/>
    </row>
    <row r="239" spans="2:5" x14ac:dyDescent="0.3">
      <c r="B239" s="7"/>
      <c r="C239" s="1"/>
      <c r="D239" s="1"/>
      <c r="E239" s="5"/>
    </row>
    <row r="240" spans="2:5" x14ac:dyDescent="0.3">
      <c r="B240" s="7"/>
      <c r="C240" s="1"/>
      <c r="D240" s="1"/>
      <c r="E240" s="5"/>
    </row>
    <row r="241" spans="2:5" x14ac:dyDescent="0.3">
      <c r="B241" s="7"/>
      <c r="C241" s="1"/>
      <c r="D241" s="1"/>
      <c r="E241" s="5"/>
    </row>
    <row r="242" spans="2:5" x14ac:dyDescent="0.3">
      <c r="B242" s="7"/>
      <c r="C242" s="1"/>
      <c r="D242" s="1"/>
      <c r="E242" s="5"/>
    </row>
    <row r="243" spans="2:5" x14ac:dyDescent="0.3">
      <c r="B243" s="7"/>
      <c r="C243" s="1"/>
      <c r="D243" s="1"/>
      <c r="E243" s="5"/>
    </row>
    <row r="244" spans="2:5" x14ac:dyDescent="0.3">
      <c r="B244" s="7"/>
      <c r="C244" s="1"/>
      <c r="D244" s="1"/>
      <c r="E244" s="5"/>
    </row>
    <row r="245" spans="2:5" x14ac:dyDescent="0.3">
      <c r="B245" s="7"/>
      <c r="C245" s="1"/>
      <c r="D245" s="1"/>
      <c r="E245" s="5"/>
    </row>
    <row r="246" spans="2:5" x14ac:dyDescent="0.3">
      <c r="B246" s="7"/>
      <c r="C246" s="1"/>
      <c r="D246" s="1"/>
      <c r="E246" s="5"/>
    </row>
    <row r="247" spans="2:5" x14ac:dyDescent="0.3">
      <c r="B247" s="7"/>
      <c r="C247" s="1"/>
      <c r="D247" s="1"/>
      <c r="E247" s="5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yDnextFromLearningRateAnDrefA0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</dc:creator>
  <cp:lastModifiedBy>user</cp:lastModifiedBy>
  <dcterms:created xsi:type="dcterms:W3CDTF">2015-02-01T15:27:03Z</dcterms:created>
  <dcterms:modified xsi:type="dcterms:W3CDTF">2016-01-28T12:52:48Z</dcterms:modified>
</cp:coreProperties>
</file>