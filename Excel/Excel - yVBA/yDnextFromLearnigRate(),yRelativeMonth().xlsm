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360" yWindow="45" windowWidth="12915" windowHeight="7830"/>
  </bookViews>
  <sheets>
    <sheet name="Sheet1" sheetId="1" r:id="rId1"/>
  </sheets>
  <functionGroups/>
  <calcPr calcId="125725"/>
</workbook>
</file>

<file path=xl/calcChain.xml><?xml version="1.0" encoding="utf-8"?>
<calcChain xmlns="http://schemas.openxmlformats.org/spreadsheetml/2006/main">
  <c r="C1" i="1"/>
  <c r="B3"/>
  <c r="B4"/>
  <c r="B5"/>
  <c r="B6"/>
  <c r="B7"/>
  <c r="B8"/>
  <c r="B9"/>
  <c r="B10"/>
  <c r="B11"/>
  <c r="B12"/>
  <c r="B13"/>
  <c r="B14"/>
  <c r="B2"/>
  <c r="C2"/>
  <c r="C3"/>
  <c r="C4"/>
  <c r="C5"/>
  <c r="C6"/>
  <c r="C7"/>
  <c r="C8"/>
  <c r="C9"/>
  <c r="C10"/>
  <c r="C11"/>
  <c r="C12"/>
  <c r="C13"/>
  <c r="C14"/>
  <c r="D14" l="1"/>
  <c r="D13"/>
  <c r="D12"/>
  <c r="D11"/>
  <c r="D10"/>
  <c r="D9"/>
  <c r="D8"/>
  <c r="D7"/>
  <c r="D6"/>
  <c r="D5"/>
  <c r="D4"/>
  <c r="D3"/>
  <c r="D2"/>
</calcChain>
</file>

<file path=xl/sharedStrings.xml><?xml version="1.0" encoding="utf-8"?>
<sst xmlns="http://schemas.openxmlformats.org/spreadsheetml/2006/main" count="6" uniqueCount="6">
  <si>
    <t>Relative Month</t>
    <phoneticPr fontId="1" type="noConversion"/>
  </si>
  <si>
    <t>Di=</t>
    <phoneticPr fontId="1" type="noConversion"/>
  </si>
  <si>
    <t>Df=</t>
    <phoneticPr fontId="1" type="noConversion"/>
  </si>
  <si>
    <t>LR=</t>
    <phoneticPr fontId="1" type="noConversion"/>
  </si>
  <si>
    <t>Month</t>
    <phoneticPr fontId="1" type="noConversion"/>
  </si>
  <si>
    <t>Yield=e^-DPU</t>
    <phoneticPr fontId="1" type="noConversion"/>
  </si>
</sst>
</file>

<file path=xl/styles.xml><?xml version="1.0" encoding="utf-8"?>
<styleSheet xmlns="http://schemas.openxmlformats.org/spreadsheetml/2006/main">
  <numFmts count="2">
    <numFmt numFmtId="176" formatCode="0.000_ "/>
    <numFmt numFmtId="177" formatCode="yyyy&quot;년&quot;\ m&quot;월&quot;;@"/>
  </numFmts>
  <fonts count="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176" fontId="0" fillId="0" borderId="0" xfId="0" applyNumberFormat="1" applyAlignment="1">
      <alignment horizontal="right" vertical="center"/>
    </xf>
    <xf numFmtId="177" fontId="0" fillId="0" borderId="0" xfId="0" applyNumberFormat="1" applyAlignment="1">
      <alignment horizontal="right" vertical="center"/>
    </xf>
  </cellXfs>
  <cellStyles count="1"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ko-KR"/>
  <c:chart>
    <c:plotArea>
      <c:layout>
        <c:manualLayout>
          <c:layoutTarget val="inner"/>
          <c:xMode val="edge"/>
          <c:yMode val="edge"/>
          <c:x val="0.17552123015873022"/>
          <c:y val="3.3494135802469141E-2"/>
          <c:w val="0.67004487342308061"/>
          <c:h val="0.7950191919191919"/>
        </c:manualLayout>
      </c:layout>
      <c:scatterChart>
        <c:scatterStyle val="smoothMarker"/>
        <c:ser>
          <c:idx val="0"/>
          <c:order val="0"/>
          <c:tx>
            <c:strRef>
              <c:f>Sheet1!$D$1</c:f>
              <c:strCache>
                <c:ptCount val="1"/>
                <c:pt idx="0">
                  <c:v>Yield=e^-DPU</c:v>
                </c:pt>
              </c:strCache>
            </c:strRef>
          </c:tx>
          <c:xVal>
            <c:numRef>
              <c:f>Sheet1!$B$2:$B$14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Sheet1!$D$2:$D$14</c:f>
              <c:numCache>
                <c:formatCode>0.000_ </c:formatCode>
                <c:ptCount val="13"/>
                <c:pt idx="0">
                  <c:v>4.9787068367863947</c:v>
                </c:pt>
                <c:pt idx="1">
                  <c:v>12.245642825298194</c:v>
                </c:pt>
                <c:pt idx="2">
                  <c:v>22.99254851867239</c:v>
                </c:pt>
                <c:pt idx="3">
                  <c:v>35.736414609271293</c:v>
                </c:pt>
                <c:pt idx="4">
                  <c:v>48.660625218484512</c:v>
                </c:pt>
                <c:pt idx="5">
                  <c:v>60.398253320514463</c:v>
                </c:pt>
                <c:pt idx="6">
                  <c:v>70.261443095527781</c:v>
                </c:pt>
                <c:pt idx="7">
                  <c:v>78.109156132697748</c:v>
                </c:pt>
                <c:pt idx="8">
                  <c:v>84.118469463444185</c:v>
                </c:pt>
                <c:pt idx="9">
                  <c:v>88.598007176019181</c:v>
                </c:pt>
                <c:pt idx="10">
                  <c:v>91.874876313832203</c:v>
                </c:pt>
                <c:pt idx="11">
                  <c:v>94.240533757534891</c:v>
                </c:pt>
                <c:pt idx="12">
                  <c:v>95.932644400160726</c:v>
                </c:pt>
              </c:numCache>
            </c:numRef>
          </c:yVal>
          <c:smooth val="1"/>
        </c:ser>
        <c:axId val="111674112"/>
        <c:axId val="111676416"/>
      </c:scatterChart>
      <c:scatterChart>
        <c:scatterStyle val="smoothMarker"/>
        <c:ser>
          <c:idx val="1"/>
          <c:order val="1"/>
          <c:tx>
            <c:strRef>
              <c:f>Sheet1!$C$1</c:f>
              <c:strCache>
                <c:ptCount val="1"/>
                <c:pt idx="0">
                  <c:v>DPU(3,0,0.3)</c:v>
                </c:pt>
              </c:strCache>
            </c:strRef>
          </c:tx>
          <c:xVal>
            <c:numRef>
              <c:f>Sheet1!$B$2:$B$14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Sheet1!$C$2:$C$14</c:f>
              <c:numCache>
                <c:formatCode>0.000_ </c:formatCode>
                <c:ptCount val="13"/>
                <c:pt idx="0">
                  <c:v>3</c:v>
                </c:pt>
                <c:pt idx="1">
                  <c:v>2.0999999999999996</c:v>
                </c:pt>
                <c:pt idx="2">
                  <c:v>1.4699999999999998</c:v>
                </c:pt>
                <c:pt idx="3">
                  <c:v>1.0289999999999997</c:v>
                </c:pt>
                <c:pt idx="4">
                  <c:v>0.72029999999999972</c:v>
                </c:pt>
                <c:pt idx="5">
                  <c:v>0.50420999999999982</c:v>
                </c:pt>
                <c:pt idx="6">
                  <c:v>0.35294699999999984</c:v>
                </c:pt>
                <c:pt idx="7">
                  <c:v>0.24706289999999986</c:v>
                </c:pt>
                <c:pt idx="8">
                  <c:v>0.17294402999999989</c:v>
                </c:pt>
                <c:pt idx="9">
                  <c:v>0.12106082099999992</c:v>
                </c:pt>
                <c:pt idx="10">
                  <c:v>8.4742574699999934E-2</c:v>
                </c:pt>
                <c:pt idx="11">
                  <c:v>5.9319802289999952E-2</c:v>
                </c:pt>
                <c:pt idx="12">
                  <c:v>4.1523861602999965E-2</c:v>
                </c:pt>
              </c:numCache>
            </c:numRef>
          </c:yVal>
          <c:smooth val="1"/>
        </c:ser>
        <c:axId val="112037248"/>
        <c:axId val="112035328"/>
      </c:scatterChart>
      <c:valAx>
        <c:axId val="11167411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ko-KR"/>
                  <a:t>Relative Month</a:t>
                </a:r>
                <a:r>
                  <a:rPr lang="en-US" altLang="ko-KR" baseline="0"/>
                  <a:t> from MTO</a:t>
                </a:r>
                <a:endParaRPr lang="ko-KR" altLang="en-US"/>
              </a:p>
            </c:rich>
          </c:tx>
          <c:layout>
            <c:manualLayout>
              <c:xMode val="edge"/>
              <c:yMode val="edge"/>
              <c:x val="0.28475949074074081"/>
              <c:y val="0.91768518518518527"/>
            </c:manualLayout>
          </c:layout>
        </c:title>
        <c:numFmt formatCode="General" sourceLinked="1"/>
        <c:tickLblPos val="nextTo"/>
        <c:crossAx val="111676416"/>
        <c:crosses val="autoZero"/>
        <c:crossBetween val="midCat"/>
      </c:valAx>
      <c:valAx>
        <c:axId val="111676416"/>
        <c:scaling>
          <c:orientation val="minMax"/>
          <c:max val="100"/>
          <c:min val="0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altLang="ko-KR"/>
                  <a:t>Yield (%)</a:t>
                </a:r>
                <a:endParaRPr lang="ko-KR" altLang="en-US"/>
              </a:p>
            </c:rich>
          </c:tx>
          <c:layout/>
        </c:title>
        <c:numFmt formatCode="General" sourceLinked="0"/>
        <c:tickLblPos val="nextTo"/>
        <c:crossAx val="111674112"/>
        <c:crosses val="autoZero"/>
        <c:crossBetween val="midCat"/>
      </c:valAx>
      <c:valAx>
        <c:axId val="112035328"/>
        <c:scaling>
          <c:orientation val="minMax"/>
        </c:scaling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altLang="ko-KR"/>
                  <a:t>DPU</a:t>
                </a:r>
                <a:endParaRPr lang="ko-KR" altLang="en-US"/>
              </a:p>
            </c:rich>
          </c:tx>
          <c:layout/>
        </c:title>
        <c:numFmt formatCode="#,##0.0_);\(#,##0.0\)" sourceLinked="0"/>
        <c:tickLblPos val="nextTo"/>
        <c:crossAx val="112037248"/>
        <c:crosses val="max"/>
        <c:crossBetween val="midCat"/>
      </c:valAx>
      <c:valAx>
        <c:axId val="112037248"/>
        <c:scaling>
          <c:orientation val="minMax"/>
        </c:scaling>
        <c:delete val="1"/>
        <c:axPos val="b"/>
        <c:numFmt formatCode="General" sourceLinked="1"/>
        <c:tickLblPos val="none"/>
        <c:crossAx val="112035328"/>
        <c:crosses val="autoZero"/>
        <c:crossBetween val="midCat"/>
      </c:valAx>
      <c:spPr>
        <a:ln>
          <a:solidFill>
            <a:sysClr val="window" lastClr="FFFFFF">
              <a:lumMod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47883495370370377"/>
          <c:y val="0.51889629629629641"/>
          <c:w val="0.33616782407407414"/>
          <c:h val="0.14439567901234571"/>
        </c:manualLayout>
      </c:layout>
      <c:spPr>
        <a:ln>
          <a:solidFill>
            <a:schemeClr val="bg1">
              <a:lumMod val="50000"/>
            </a:schemeClr>
          </a:solidFill>
        </a:ln>
      </c:spPr>
    </c:legend>
    <c:plotVisOnly val="1"/>
  </c:chart>
  <c:spPr>
    <a:ln>
      <a:noFill/>
    </a:ln>
  </c:spPr>
  <c:txPr>
    <a:bodyPr/>
    <a:lstStyle/>
    <a:p>
      <a:pPr>
        <a:defRPr sz="1400"/>
      </a:pPr>
      <a:endParaRPr lang="ko-KR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76200</xdr:colOff>
      <xdr:row>0</xdr:row>
      <xdr:rowOff>123825</xdr:rowOff>
    </xdr:from>
    <xdr:to>
      <xdr:col>13</xdr:col>
      <xdr:colOff>315600</xdr:colOff>
      <xdr:row>19</xdr:row>
      <xdr:rowOff>102375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14"/>
  <sheetViews>
    <sheetView showGridLines="0" tabSelected="1" workbookViewId="0">
      <selection activeCell="D6" sqref="D6"/>
    </sheetView>
  </sheetViews>
  <sheetFormatPr defaultRowHeight="16.5"/>
  <cols>
    <col min="1" max="1" width="11" style="1" bestFit="1" customWidth="1"/>
    <col min="2" max="2" width="15" bestFit="1" customWidth="1"/>
    <col min="3" max="3" width="11.875" style="1" bestFit="1" customWidth="1"/>
    <col min="4" max="4" width="14.375" style="1" bestFit="1" customWidth="1"/>
    <col min="5" max="5" width="4.875" bestFit="1" customWidth="1"/>
    <col min="6" max="6" width="4.5" bestFit="1" customWidth="1"/>
  </cols>
  <sheetData>
    <row r="1" spans="1:6">
      <c r="A1" s="1" t="s">
        <v>4</v>
      </c>
      <c r="B1" s="1" t="s">
        <v>0</v>
      </c>
      <c r="C1" s="1" t="str">
        <f>"DPU("&amp;F1&amp;","&amp;F2&amp;","&amp;F3&amp;")"</f>
        <v>DPU(3,0,0.3)</v>
      </c>
      <c r="D1" s="1" t="s">
        <v>5</v>
      </c>
      <c r="E1" t="s">
        <v>1</v>
      </c>
      <c r="F1">
        <v>3</v>
      </c>
    </row>
    <row r="2" spans="1:6">
      <c r="A2" s="3">
        <v>42034</v>
      </c>
      <c r="B2">
        <f>yRelativeMonth($A$2,A2)</f>
        <v>0</v>
      </c>
      <c r="C2" s="2">
        <f t="shared" ref="C2:C14" si="0">yDnextFromLearningRate(C1,$F$1,$F$2,$F$3,NOT(ISNUMBER(C1)))</f>
        <v>3</v>
      </c>
      <c r="D2" s="2">
        <f>EXP(-C2)*100</f>
        <v>4.9787068367863947</v>
      </c>
      <c r="E2" t="s">
        <v>2</v>
      </c>
      <c r="F2">
        <v>0</v>
      </c>
    </row>
    <row r="3" spans="1:6">
      <c r="A3" s="3">
        <v>42063</v>
      </c>
      <c r="B3">
        <f t="shared" ref="B3:B14" si="1">yRelativeMonth($A$2,A3)</f>
        <v>1</v>
      </c>
      <c r="C3" s="2">
        <f t="shared" si="0"/>
        <v>2.0999999999999996</v>
      </c>
      <c r="D3" s="2">
        <f t="shared" ref="D3:D14" si="2">EXP(-C3)*100</f>
        <v>12.245642825298194</v>
      </c>
      <c r="E3" t="s">
        <v>3</v>
      </c>
      <c r="F3">
        <v>0.3</v>
      </c>
    </row>
    <row r="4" spans="1:6">
      <c r="A4" s="3">
        <v>42093</v>
      </c>
      <c r="B4">
        <f t="shared" si="1"/>
        <v>2</v>
      </c>
      <c r="C4" s="2">
        <f t="shared" si="0"/>
        <v>1.4699999999999998</v>
      </c>
      <c r="D4" s="2">
        <f t="shared" si="2"/>
        <v>22.99254851867239</v>
      </c>
    </row>
    <row r="5" spans="1:6">
      <c r="A5" s="3">
        <v>42124</v>
      </c>
      <c r="B5">
        <f t="shared" si="1"/>
        <v>3</v>
      </c>
      <c r="C5" s="2">
        <f t="shared" si="0"/>
        <v>1.0289999999999997</v>
      </c>
      <c r="D5" s="2">
        <f t="shared" si="2"/>
        <v>35.736414609271293</v>
      </c>
    </row>
    <row r="6" spans="1:6">
      <c r="A6" s="3">
        <v>42154</v>
      </c>
      <c r="B6">
        <f t="shared" si="1"/>
        <v>4</v>
      </c>
      <c r="C6" s="2">
        <f t="shared" si="0"/>
        <v>0.72029999999999972</v>
      </c>
      <c r="D6" s="2">
        <f t="shared" si="2"/>
        <v>48.660625218484512</v>
      </c>
    </row>
    <row r="7" spans="1:6">
      <c r="A7" s="3">
        <v>42185</v>
      </c>
      <c r="B7">
        <f t="shared" si="1"/>
        <v>5</v>
      </c>
      <c r="C7" s="2">
        <f t="shared" si="0"/>
        <v>0.50420999999999982</v>
      </c>
      <c r="D7" s="2">
        <f t="shared" si="2"/>
        <v>60.398253320514463</v>
      </c>
    </row>
    <row r="8" spans="1:6">
      <c r="A8" s="3">
        <v>42215</v>
      </c>
      <c r="B8">
        <f t="shared" si="1"/>
        <v>6</v>
      </c>
      <c r="C8" s="2">
        <f t="shared" si="0"/>
        <v>0.35294699999999984</v>
      </c>
      <c r="D8" s="2">
        <f t="shared" si="2"/>
        <v>70.261443095527781</v>
      </c>
    </row>
    <row r="9" spans="1:6">
      <c r="A9" s="3">
        <v>42246</v>
      </c>
      <c r="B9">
        <f t="shared" si="1"/>
        <v>7</v>
      </c>
      <c r="C9" s="2">
        <f t="shared" si="0"/>
        <v>0.24706289999999986</v>
      </c>
      <c r="D9" s="2">
        <f t="shared" si="2"/>
        <v>78.109156132697748</v>
      </c>
    </row>
    <row r="10" spans="1:6">
      <c r="A10" s="3">
        <v>42277</v>
      </c>
      <c r="B10">
        <f t="shared" si="1"/>
        <v>8</v>
      </c>
      <c r="C10" s="2">
        <f t="shared" si="0"/>
        <v>0.17294402999999989</v>
      </c>
      <c r="D10" s="2">
        <f t="shared" si="2"/>
        <v>84.118469463444185</v>
      </c>
    </row>
    <row r="11" spans="1:6">
      <c r="A11" s="3">
        <v>42307</v>
      </c>
      <c r="B11">
        <f t="shared" si="1"/>
        <v>9</v>
      </c>
      <c r="C11" s="2">
        <f t="shared" si="0"/>
        <v>0.12106082099999992</v>
      </c>
      <c r="D11" s="2">
        <f t="shared" si="2"/>
        <v>88.598007176019181</v>
      </c>
    </row>
    <row r="12" spans="1:6">
      <c r="A12" s="3">
        <v>42338</v>
      </c>
      <c r="B12">
        <f t="shared" si="1"/>
        <v>10</v>
      </c>
      <c r="C12" s="2">
        <f t="shared" si="0"/>
        <v>8.4742574699999934E-2</v>
      </c>
      <c r="D12" s="2">
        <f t="shared" si="2"/>
        <v>91.874876313832203</v>
      </c>
    </row>
    <row r="13" spans="1:6">
      <c r="A13" s="3">
        <v>42368</v>
      </c>
      <c r="B13">
        <f t="shared" si="1"/>
        <v>11</v>
      </c>
      <c r="C13" s="2">
        <f t="shared" si="0"/>
        <v>5.9319802289999952E-2</v>
      </c>
      <c r="D13" s="2">
        <f t="shared" si="2"/>
        <v>94.240533757534891</v>
      </c>
    </row>
    <row r="14" spans="1:6">
      <c r="A14" s="3">
        <v>42399</v>
      </c>
      <c r="B14">
        <f t="shared" si="1"/>
        <v>12</v>
      </c>
      <c r="C14" s="2">
        <f t="shared" si="0"/>
        <v>4.1523861602999965E-2</v>
      </c>
      <c r="D14" s="2">
        <f t="shared" si="2"/>
        <v>95.932644400160726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2015-09-06T14:14:45Z</dcterms:created>
  <dcterms:modified xsi:type="dcterms:W3CDTF">2015-11-29T05:31:34Z</dcterms:modified>
</cp:coreProperties>
</file>