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510" windowWidth="15015" windowHeight="7050"/>
  </bookViews>
  <sheets>
    <sheet name="Sheet1" sheetId="2" r:id="rId1"/>
    <sheet name="Sheet2" sheetId="3" r:id="rId2"/>
  </sheets>
  <functionGroups/>
  <definedNames>
    <definedName name="_b">#REF!</definedName>
    <definedName name="_l">#REF!</definedName>
    <definedName name="_m">#REF!</definedName>
    <definedName name="_r">#REF!</definedName>
    <definedName name="eSRAM_size">#REF!</definedName>
    <definedName name="eSRAM_yield">#REF!</definedName>
    <definedName name="FBU">Sheet1!$B$3</definedName>
    <definedName name="FXM">Sheet1!$B$2</definedName>
    <definedName name="Redundancy">Sheet2!$B$1</definedName>
    <definedName name="RPF">Sheet1!$B$4</definedName>
  </definedNames>
  <calcPr calcId="125725"/>
</workbook>
</file>

<file path=xl/calcChain.xml><?xml version="1.0" encoding="utf-8"?>
<calcChain xmlns="http://schemas.openxmlformats.org/spreadsheetml/2006/main">
  <c r="H4" i="3"/>
  <c r="H5"/>
  <c r="H6"/>
  <c r="H7"/>
  <c r="H8"/>
  <c r="H9"/>
  <c r="H10"/>
  <c r="H11"/>
  <c r="H12"/>
  <c r="H13"/>
  <c r="H3"/>
  <c r="I3" s="1"/>
  <c r="J3"/>
  <c r="J7"/>
  <c r="G3"/>
  <c r="F3"/>
  <c r="I7"/>
  <c r="J2"/>
  <c r="G2"/>
  <c r="D7"/>
  <c r="D3"/>
  <c r="D2"/>
  <c r="B4"/>
  <c r="B5" s="1"/>
  <c r="B6" s="1"/>
  <c r="B8" s="1"/>
  <c r="B9" s="1"/>
  <c r="B10" s="1"/>
  <c r="B11" s="1"/>
  <c r="B12" s="1"/>
  <c r="B13" s="1"/>
  <c r="D13" s="1"/>
  <c r="E4"/>
  <c r="E5" s="1"/>
  <c r="E6" s="1"/>
  <c r="E7" s="1"/>
  <c r="E8" s="1"/>
  <c r="E9" s="1"/>
  <c r="E10" s="1"/>
  <c r="E11" s="1"/>
  <c r="E12" s="1"/>
  <c r="E13" s="1"/>
  <c r="G13" s="1"/>
  <c r="E3" i="2"/>
  <c r="J10"/>
  <c r="E7"/>
  <c r="O15"/>
  <c r="J8"/>
  <c r="O3"/>
  <c r="O9"/>
  <c r="J6"/>
  <c r="O5"/>
  <c r="O14"/>
  <c r="O2"/>
  <c r="O13"/>
  <c r="E4"/>
  <c r="O17"/>
  <c r="J5"/>
  <c r="J3"/>
  <c r="O11"/>
  <c r="E9"/>
  <c r="E8"/>
  <c r="E6"/>
  <c r="J9"/>
  <c r="J7"/>
  <c r="O10"/>
  <c r="O8"/>
  <c r="O6"/>
  <c r="O4"/>
  <c r="O18"/>
  <c r="O12"/>
  <c r="J2"/>
  <c r="O16"/>
  <c r="E5"/>
  <c r="J4"/>
  <c r="O7"/>
  <c r="E10"/>
  <c r="E2"/>
  <c r="D4" i="3" l="1"/>
  <c r="I10"/>
  <c r="I6"/>
  <c r="I12"/>
  <c r="I8"/>
  <c r="I4"/>
  <c r="J12"/>
  <c r="J10"/>
  <c r="J8"/>
  <c r="J6"/>
  <c r="J4"/>
  <c r="I13"/>
  <c r="I11"/>
  <c r="I9"/>
  <c r="I5"/>
  <c r="F13"/>
  <c r="F9"/>
  <c r="F7"/>
  <c r="F5"/>
  <c r="F12"/>
  <c r="F10"/>
  <c r="F8"/>
  <c r="F6"/>
  <c r="F4"/>
  <c r="G11"/>
  <c r="G9"/>
  <c r="G7"/>
  <c r="G5"/>
  <c r="F11"/>
  <c r="G12"/>
  <c r="G10"/>
  <c r="G8"/>
  <c r="G6"/>
  <c r="G4"/>
  <c r="D12"/>
  <c r="D10"/>
  <c r="D8"/>
  <c r="D6"/>
  <c r="D11"/>
  <c r="D9"/>
  <c r="D5"/>
  <c r="C13"/>
  <c r="C12"/>
  <c r="C11"/>
  <c r="C10"/>
  <c r="C9"/>
  <c r="C8"/>
  <c r="J5" l="1"/>
  <c r="J11"/>
  <c r="J9"/>
  <c r="J13"/>
  <c r="C6"/>
  <c r="C7"/>
  <c r="C3"/>
  <c r="C4" l="1"/>
  <c r="M11" i="2"/>
  <c r="N11" s="1"/>
  <c r="M12"/>
  <c r="N12" s="1"/>
  <c r="M13"/>
  <c r="N13" s="1"/>
  <c r="M14"/>
  <c r="N14" s="1"/>
  <c r="M15"/>
  <c r="N15" s="1"/>
  <c r="M16"/>
  <c r="N16" s="1"/>
  <c r="M17"/>
  <c r="N17" s="1"/>
  <c r="M18"/>
  <c r="N18" s="1"/>
  <c r="M3"/>
  <c r="N3" s="1"/>
  <c r="M4"/>
  <c r="N4" s="1"/>
  <c r="M5"/>
  <c r="N5" s="1"/>
  <c r="M6"/>
  <c r="N6" s="1"/>
  <c r="M7"/>
  <c r="N7" s="1"/>
  <c r="M8"/>
  <c r="N8" s="1"/>
  <c r="M9"/>
  <c r="N9" s="1"/>
  <c r="M10"/>
  <c r="N10" s="1"/>
  <c r="M2"/>
  <c r="N2" s="1"/>
  <c r="C3"/>
  <c r="D3" s="1"/>
  <c r="C4"/>
  <c r="D4" s="1"/>
  <c r="C5"/>
  <c r="D5" s="1"/>
  <c r="C6"/>
  <c r="D6" s="1"/>
  <c r="C7"/>
  <c r="D7" s="1"/>
  <c r="C8"/>
  <c r="D8" s="1"/>
  <c r="C9"/>
  <c r="D9" s="1"/>
  <c r="C10"/>
  <c r="D10" s="1"/>
  <c r="C2"/>
  <c r="D2" s="1"/>
  <c r="H3"/>
  <c r="H4"/>
  <c r="H5"/>
  <c r="H6"/>
  <c r="H7"/>
  <c r="H8"/>
  <c r="H9"/>
  <c r="H10"/>
  <c r="H2"/>
  <c r="I2" s="1"/>
  <c r="I3"/>
  <c r="I4"/>
  <c r="I5"/>
  <c r="I6"/>
  <c r="I7"/>
  <c r="I8"/>
  <c r="I9"/>
  <c r="I10"/>
  <c r="C5" i="3" l="1"/>
</calcChain>
</file>

<file path=xl/sharedStrings.xml><?xml version="1.0" encoding="utf-8"?>
<sst xmlns="http://schemas.openxmlformats.org/spreadsheetml/2006/main" count="28" uniqueCount="15">
  <si>
    <t>AccCount</t>
    <phoneticPr fontId="1" type="noConversion"/>
  </si>
  <si>
    <t>Poisson(mean=1)</t>
    <phoneticPr fontId="1" type="noConversion"/>
  </si>
  <si>
    <t>Mean*</t>
    <phoneticPr fontId="1" type="noConversion"/>
  </si>
  <si>
    <t>Variable</t>
    <phoneticPr fontId="1" type="noConversion"/>
  </si>
  <si>
    <t>Poisson(mean=0.1)</t>
    <phoneticPr fontId="1" type="noConversion"/>
  </si>
  <si>
    <t>Poisson(mean=10)</t>
    <phoneticPr fontId="1" type="noConversion"/>
  </si>
  <si>
    <t>DPU</t>
    <phoneticPr fontId="1" type="noConversion"/>
  </si>
  <si>
    <t>Yperfect</t>
    <phoneticPr fontId="1" type="noConversion"/>
  </si>
  <si>
    <t>w/AVD</t>
    <phoneticPr fontId="1" type="noConversion"/>
  </si>
  <si>
    <t>R=</t>
    <phoneticPr fontId="1" type="noConversion"/>
  </si>
  <si>
    <t>Yfixable</t>
    <phoneticPr fontId="1" type="noConversion"/>
  </si>
  <si>
    <t>ACD</t>
    <phoneticPr fontId="1" type="noConversion"/>
  </si>
  <si>
    <t>w/ACD</t>
    <phoneticPr fontId="1" type="noConversion"/>
  </si>
  <si>
    <t>AVD</t>
    <phoneticPr fontId="1" type="noConversion"/>
  </si>
  <si>
    <t>CDF</t>
    <phoneticPr fontId="1" type="noConversion"/>
  </si>
</sst>
</file>

<file path=xl/styles.xml><?xml version="1.0" encoding="utf-8"?>
<styleSheet xmlns="http://schemas.openxmlformats.org/spreadsheetml/2006/main">
  <numFmts count="8">
    <numFmt numFmtId="176" formatCode="0.000_ "/>
    <numFmt numFmtId="177" formatCode="0E+00"/>
    <numFmt numFmtId="178" formatCode="0.0%"/>
    <numFmt numFmtId="179" formatCode="0.000%"/>
    <numFmt numFmtId="180" formatCode="0.0000%"/>
    <numFmt numFmtId="181" formatCode="0.00000%"/>
    <numFmt numFmtId="182" formatCode="0.000000%"/>
    <numFmt numFmtId="183" formatCode="0.0_ 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2" fillId="0" borderId="0" xfId="0" applyFont="1" applyAlignme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9" fontId="2" fillId="0" borderId="0" xfId="1" applyFont="1" applyAlignment="1">
      <alignment horizontal="right"/>
    </xf>
    <xf numFmtId="9" fontId="2" fillId="0" borderId="0" xfId="1" applyNumberFormat="1" applyFont="1" applyAlignment="1">
      <alignment horizontal="right"/>
    </xf>
    <xf numFmtId="9" fontId="0" fillId="0" borderId="0" xfId="0" applyNumberFormat="1" applyAlignment="1">
      <alignment horizontal="right" vertical="center"/>
    </xf>
    <xf numFmtId="9" fontId="0" fillId="0" borderId="0" xfId="1" applyFont="1" applyAlignment="1">
      <alignment horizontal="right" vertical="center"/>
    </xf>
    <xf numFmtId="178" fontId="0" fillId="0" borderId="0" xfId="1" applyNumberFormat="1" applyFont="1" applyAlignment="1">
      <alignment horizontal="right" vertical="center"/>
    </xf>
    <xf numFmtId="10" fontId="0" fillId="0" borderId="0" xfId="1" applyNumberFormat="1" applyFont="1" applyAlignment="1">
      <alignment horizontal="right" vertical="center"/>
    </xf>
    <xf numFmtId="179" fontId="0" fillId="0" borderId="0" xfId="1" applyNumberFormat="1" applyFont="1" applyAlignment="1">
      <alignment horizontal="right" vertical="center"/>
    </xf>
    <xf numFmtId="180" fontId="0" fillId="0" borderId="0" xfId="1" applyNumberFormat="1" applyFont="1" applyAlignment="1">
      <alignment horizontal="right" vertical="center"/>
    </xf>
    <xf numFmtId="181" fontId="0" fillId="0" borderId="0" xfId="1" applyNumberFormat="1" applyFont="1" applyAlignment="1">
      <alignment horizontal="right" vertical="center"/>
    </xf>
    <xf numFmtId="182" fontId="0" fillId="0" borderId="0" xfId="1" applyNumberFormat="1" applyFont="1" applyAlignment="1">
      <alignment horizontal="right" vertical="center"/>
    </xf>
    <xf numFmtId="183" fontId="0" fillId="0" borderId="0" xfId="0" applyNumberFormat="1" applyAlignment="1">
      <alignment horizontal="right" vertical="center"/>
    </xf>
    <xf numFmtId="183" fontId="3" fillId="0" borderId="0" xfId="0" applyNumberFormat="1" applyFont="1" applyAlignment="1">
      <alignment horizontal="right" vertical="center"/>
    </xf>
    <xf numFmtId="0" fontId="0" fillId="2" borderId="0" xfId="0" applyFill="1" applyAlignment="1">
      <alignment horizontal="right" vertical="center"/>
    </xf>
    <xf numFmtId="9" fontId="0" fillId="2" borderId="0" xfId="1" applyFont="1" applyFill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9" defaultPivotStyle="PivotStyleLight16"/>
  <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65"/>
  <sheetViews>
    <sheetView showGridLines="0" tabSelected="1" workbookViewId="0">
      <selection activeCell="K5" sqref="K5"/>
    </sheetView>
  </sheetViews>
  <sheetFormatPr defaultRowHeight="16.5"/>
  <cols>
    <col min="1" max="1" width="18.875" style="1" bestFit="1" customWidth="1"/>
    <col min="2" max="2" width="8.5" style="1" bestFit="1" customWidth="1"/>
    <col min="3" max="3" width="9.75" style="1" bestFit="1" customWidth="1"/>
    <col min="4" max="4" width="6.125" style="1" bestFit="1" customWidth="1"/>
    <col min="5" max="5" width="9" style="2"/>
    <col min="6" max="6" width="16.625" style="1" bestFit="1" customWidth="1"/>
    <col min="7" max="7" width="8.5" style="1" bestFit="1" customWidth="1"/>
    <col min="8" max="8" width="10.25" style="1" bestFit="1" customWidth="1"/>
    <col min="9" max="9" width="6.125" style="1" bestFit="1" customWidth="1"/>
    <col min="10" max="10" width="8.875" style="1" bestFit="1" customWidth="1"/>
    <col min="11" max="11" width="18.5" style="2" bestFit="1" customWidth="1"/>
    <col min="14" max="14" width="5.125" bestFit="1" customWidth="1"/>
  </cols>
  <sheetData>
    <row r="1" spans="1:15">
      <c r="A1" s="6" t="s">
        <v>4</v>
      </c>
      <c r="B1" s="1" t="s">
        <v>3</v>
      </c>
      <c r="C1" s="4" t="s">
        <v>0</v>
      </c>
      <c r="D1" s="4" t="s">
        <v>14</v>
      </c>
      <c r="E1" s="4" t="s">
        <v>2</v>
      </c>
      <c r="F1" s="6" t="s">
        <v>1</v>
      </c>
      <c r="G1" s="1" t="s">
        <v>3</v>
      </c>
      <c r="H1" s="4" t="s">
        <v>0</v>
      </c>
      <c r="I1" s="4" t="s">
        <v>14</v>
      </c>
      <c r="J1" s="4" t="s">
        <v>2</v>
      </c>
      <c r="K1" s="6" t="s">
        <v>5</v>
      </c>
      <c r="L1" s="1" t="s">
        <v>3</v>
      </c>
      <c r="M1" s="4" t="s">
        <v>0</v>
      </c>
      <c r="N1" s="4" t="s">
        <v>14</v>
      </c>
      <c r="O1" s="4" t="s">
        <v>2</v>
      </c>
    </row>
    <row r="2" spans="1:15">
      <c r="A2" s="5">
        <v>0</v>
      </c>
      <c r="B2" s="7">
        <v>0</v>
      </c>
      <c r="C2" s="7">
        <f>COUNTIF($A$2:$A$65,"&lt;="&amp;B2)</f>
        <v>54</v>
      </c>
      <c r="D2" s="9">
        <f>C2/COUNT($A$2:$A$65)</f>
        <v>0.84375</v>
      </c>
      <c r="E2" s="3">
        <f>yPoissonInvCDF4Mean(D2,B2,64)</f>
        <v>0.16986083984375</v>
      </c>
      <c r="F2" s="7">
        <v>2</v>
      </c>
      <c r="G2" s="7">
        <v>0</v>
      </c>
      <c r="H2" s="7">
        <f t="shared" ref="H2:H10" si="0">COUNTIF($F$2:$F$65,"&lt;="&amp;G2)</f>
        <v>21</v>
      </c>
      <c r="I2" s="9">
        <f t="shared" ref="I2:I10" si="1">H2/COUNT($F$2:$F$65)</f>
        <v>0.328125</v>
      </c>
      <c r="J2" s="3">
        <f t="shared" ref="J2:J10" si="2">yPoissonInvCDF4Mean(I2,G2,64)</f>
        <v>1.11431884765625</v>
      </c>
      <c r="K2" s="5">
        <v>11</v>
      </c>
      <c r="L2" s="7">
        <v>0</v>
      </c>
      <c r="M2" s="7">
        <f t="shared" ref="M2:M18" si="3">COUNTIF($K$2:$K$65,"&lt;="&amp;L2)</f>
        <v>0</v>
      </c>
      <c r="N2" s="9">
        <f t="shared" ref="N2:N18" si="4">M2/COUNT($K$2:$K$65)</f>
        <v>0</v>
      </c>
      <c r="O2" s="3" t="str">
        <f t="shared" ref="O2:O18" si="5">yPoissonInvCDF4Mean(N2,L2,64)</f>
        <v>na</v>
      </c>
    </row>
    <row r="3" spans="1:15">
      <c r="A3" s="5">
        <v>0</v>
      </c>
      <c r="B3" s="7">
        <v>1</v>
      </c>
      <c r="C3" s="7">
        <f t="shared" ref="C3:C10" si="6">COUNTIF($A$2:$A$65,"&lt;="&amp;B3)</f>
        <v>63</v>
      </c>
      <c r="D3" s="9">
        <f t="shared" ref="D3:D10" si="7">C3/COUNT($A$2:$A$65)</f>
        <v>0.984375</v>
      </c>
      <c r="E3" s="3" t="e">
        <f>yPoissonInvCDF4Mean(D3,B3,64)</f>
        <v>#VALUE!</v>
      </c>
      <c r="F3" s="7">
        <v>3</v>
      </c>
      <c r="G3" s="7">
        <v>1</v>
      </c>
      <c r="H3" s="7">
        <f t="shared" si="0"/>
        <v>43</v>
      </c>
      <c r="I3" s="8">
        <f t="shared" si="1"/>
        <v>0.671875</v>
      </c>
      <c r="J3" s="3">
        <f t="shared" si="2"/>
        <v>1.17449951171875</v>
      </c>
      <c r="K3" s="5">
        <v>10</v>
      </c>
      <c r="L3" s="7">
        <v>1</v>
      </c>
      <c r="M3" s="7">
        <f t="shared" si="3"/>
        <v>0</v>
      </c>
      <c r="N3" s="9">
        <f t="shared" si="4"/>
        <v>0</v>
      </c>
      <c r="O3" s="3" t="str">
        <f t="shared" si="5"/>
        <v>na</v>
      </c>
    </row>
    <row r="4" spans="1:15">
      <c r="A4" s="5">
        <v>0</v>
      </c>
      <c r="B4" s="7">
        <v>2</v>
      </c>
      <c r="C4" s="7">
        <f t="shared" si="6"/>
        <v>64</v>
      </c>
      <c r="D4" s="9">
        <f t="shared" si="7"/>
        <v>1</v>
      </c>
      <c r="E4" s="3" t="str">
        <f t="shared" ref="E4:E10" si="8">yPoissonInvCDF4Mean(D4,B4,64)</f>
        <v>na</v>
      </c>
      <c r="F4" s="7">
        <v>2</v>
      </c>
      <c r="G4" s="7">
        <v>2</v>
      </c>
      <c r="H4" s="7">
        <f t="shared" si="0"/>
        <v>56</v>
      </c>
      <c r="I4" s="8">
        <f t="shared" si="1"/>
        <v>0.875</v>
      </c>
      <c r="J4" s="3">
        <f t="shared" si="2"/>
        <v>1.22052001953125</v>
      </c>
      <c r="K4" s="5">
        <v>14</v>
      </c>
      <c r="L4" s="7">
        <v>2</v>
      </c>
      <c r="M4" s="7">
        <f t="shared" si="3"/>
        <v>0</v>
      </c>
      <c r="N4" s="9">
        <f t="shared" si="4"/>
        <v>0</v>
      </c>
      <c r="O4" s="3" t="str">
        <f t="shared" si="5"/>
        <v>na</v>
      </c>
    </row>
    <row r="5" spans="1:15">
      <c r="A5" s="5">
        <v>0</v>
      </c>
      <c r="B5" s="7">
        <v>3</v>
      </c>
      <c r="C5" s="7">
        <f t="shared" si="6"/>
        <v>64</v>
      </c>
      <c r="D5" s="9">
        <f t="shared" si="7"/>
        <v>1</v>
      </c>
      <c r="E5" s="3" t="str">
        <f t="shared" si="8"/>
        <v>na</v>
      </c>
      <c r="F5" s="7">
        <v>2</v>
      </c>
      <c r="G5" s="7">
        <v>3</v>
      </c>
      <c r="H5" s="7">
        <f t="shared" si="0"/>
        <v>61</v>
      </c>
      <c r="I5" s="8">
        <f t="shared" si="1"/>
        <v>0.953125</v>
      </c>
      <c r="J5" s="3">
        <f t="shared" si="2"/>
        <v>1.33697509765625</v>
      </c>
      <c r="K5" s="5">
        <v>9</v>
      </c>
      <c r="L5" s="7">
        <v>3</v>
      </c>
      <c r="M5" s="7">
        <f t="shared" si="3"/>
        <v>0</v>
      </c>
      <c r="N5" s="9">
        <f t="shared" si="4"/>
        <v>0</v>
      </c>
      <c r="O5" s="3" t="str">
        <f t="shared" si="5"/>
        <v>na</v>
      </c>
    </row>
    <row r="6" spans="1:15">
      <c r="A6" s="5">
        <v>0</v>
      </c>
      <c r="B6" s="7">
        <v>4</v>
      </c>
      <c r="C6" s="7">
        <f t="shared" si="6"/>
        <v>64</v>
      </c>
      <c r="D6" s="9">
        <f t="shared" si="7"/>
        <v>1</v>
      </c>
      <c r="E6" s="3" t="str">
        <f t="shared" si="8"/>
        <v>na</v>
      </c>
      <c r="F6" s="7">
        <v>1</v>
      </c>
      <c r="G6" s="7">
        <v>4</v>
      </c>
      <c r="H6" s="7">
        <f t="shared" si="0"/>
        <v>63</v>
      </c>
      <c r="I6" s="8">
        <f t="shared" si="1"/>
        <v>0.984375</v>
      </c>
      <c r="J6" s="3">
        <f t="shared" si="2"/>
        <v>1.43365478515625</v>
      </c>
      <c r="K6" s="5">
        <v>14</v>
      </c>
      <c r="L6" s="7">
        <v>4</v>
      </c>
      <c r="M6" s="7">
        <f t="shared" si="3"/>
        <v>0</v>
      </c>
      <c r="N6" s="9">
        <f t="shared" si="4"/>
        <v>0</v>
      </c>
      <c r="O6" s="3" t="str">
        <f t="shared" si="5"/>
        <v>na</v>
      </c>
    </row>
    <row r="7" spans="1:15">
      <c r="A7" s="5">
        <v>0</v>
      </c>
      <c r="B7" s="7">
        <v>5</v>
      </c>
      <c r="C7" s="7">
        <f t="shared" si="6"/>
        <v>64</v>
      </c>
      <c r="D7" s="9">
        <f t="shared" si="7"/>
        <v>1</v>
      </c>
      <c r="E7" s="3" t="str">
        <f t="shared" si="8"/>
        <v>na</v>
      </c>
      <c r="F7" s="7">
        <v>1</v>
      </c>
      <c r="G7" s="7">
        <v>5</v>
      </c>
      <c r="H7" s="7">
        <f t="shared" si="0"/>
        <v>64</v>
      </c>
      <c r="I7" s="8">
        <f t="shared" si="1"/>
        <v>1</v>
      </c>
      <c r="J7" s="3" t="str">
        <f t="shared" si="2"/>
        <v>na</v>
      </c>
      <c r="K7" s="5">
        <v>11</v>
      </c>
      <c r="L7" s="7">
        <v>5</v>
      </c>
      <c r="M7" s="7">
        <f t="shared" si="3"/>
        <v>1</v>
      </c>
      <c r="N7" s="9">
        <f t="shared" si="4"/>
        <v>1.5625E-2</v>
      </c>
      <c r="O7" s="3">
        <f t="shared" si="5"/>
        <v>12.41741943359375</v>
      </c>
    </row>
    <row r="8" spans="1:15">
      <c r="A8" s="5">
        <v>1</v>
      </c>
      <c r="B8" s="7">
        <v>6</v>
      </c>
      <c r="C8" s="7">
        <f t="shared" si="6"/>
        <v>64</v>
      </c>
      <c r="D8" s="9">
        <f t="shared" si="7"/>
        <v>1</v>
      </c>
      <c r="E8" s="3" t="str">
        <f t="shared" si="8"/>
        <v>na</v>
      </c>
      <c r="F8" s="7">
        <v>0</v>
      </c>
      <c r="G8" s="7">
        <v>6</v>
      </c>
      <c r="H8" s="7">
        <f t="shared" si="0"/>
        <v>64</v>
      </c>
      <c r="I8" s="8">
        <f t="shared" si="1"/>
        <v>1</v>
      </c>
      <c r="J8" s="3" t="str">
        <f t="shared" si="2"/>
        <v>na</v>
      </c>
      <c r="K8" s="5">
        <v>8</v>
      </c>
      <c r="L8" s="7">
        <v>6</v>
      </c>
      <c r="M8" s="7">
        <f t="shared" si="3"/>
        <v>3</v>
      </c>
      <c r="N8" s="9">
        <f t="shared" si="4"/>
        <v>4.6875E-2</v>
      </c>
      <c r="O8" s="3">
        <f t="shared" si="5"/>
        <v>11.95916748046875</v>
      </c>
    </row>
    <row r="9" spans="1:15">
      <c r="A9" s="5">
        <v>1</v>
      </c>
      <c r="B9" s="7">
        <v>7</v>
      </c>
      <c r="C9" s="7">
        <f t="shared" si="6"/>
        <v>64</v>
      </c>
      <c r="D9" s="9">
        <f t="shared" si="7"/>
        <v>1</v>
      </c>
      <c r="E9" s="3" t="str">
        <f t="shared" si="8"/>
        <v>na</v>
      </c>
      <c r="F9" s="7">
        <v>3</v>
      </c>
      <c r="G9" s="7">
        <v>7</v>
      </c>
      <c r="H9" s="7">
        <f t="shared" si="0"/>
        <v>64</v>
      </c>
      <c r="I9" s="8">
        <f t="shared" si="1"/>
        <v>1</v>
      </c>
      <c r="J9" s="3" t="str">
        <f t="shared" si="2"/>
        <v>na</v>
      </c>
      <c r="K9" s="5">
        <v>14</v>
      </c>
      <c r="L9" s="7">
        <v>7</v>
      </c>
      <c r="M9" s="7">
        <f t="shared" si="3"/>
        <v>11</v>
      </c>
      <c r="N9" s="9">
        <f t="shared" si="4"/>
        <v>0.171875</v>
      </c>
      <c r="O9" s="3">
        <f t="shared" si="5"/>
        <v>10.58758544921875</v>
      </c>
    </row>
    <row r="10" spans="1:15">
      <c r="A10" s="5">
        <v>0</v>
      </c>
      <c r="B10" s="7">
        <v>8</v>
      </c>
      <c r="C10" s="7">
        <f t="shared" si="6"/>
        <v>64</v>
      </c>
      <c r="D10" s="9">
        <f t="shared" si="7"/>
        <v>1</v>
      </c>
      <c r="E10" s="3" t="str">
        <f t="shared" si="8"/>
        <v>na</v>
      </c>
      <c r="F10" s="7">
        <v>0</v>
      </c>
      <c r="G10" s="7">
        <v>8</v>
      </c>
      <c r="H10" s="7">
        <f t="shared" si="0"/>
        <v>64</v>
      </c>
      <c r="I10" s="8">
        <f t="shared" si="1"/>
        <v>1</v>
      </c>
      <c r="J10" s="3" t="str">
        <f t="shared" si="2"/>
        <v>na</v>
      </c>
      <c r="K10" s="5">
        <v>14</v>
      </c>
      <c r="L10" s="7">
        <v>8</v>
      </c>
      <c r="M10" s="7">
        <f t="shared" si="3"/>
        <v>18</v>
      </c>
      <c r="N10" s="9">
        <f t="shared" si="4"/>
        <v>0.28125</v>
      </c>
      <c r="O10" s="3">
        <f t="shared" si="5"/>
        <v>10.48187255859375</v>
      </c>
    </row>
    <row r="11" spans="1:15">
      <c r="A11" s="5">
        <v>0</v>
      </c>
      <c r="B11" s="3"/>
      <c r="C11" s="3"/>
      <c r="D11" s="3"/>
      <c r="F11" s="7">
        <v>3</v>
      </c>
      <c r="G11" s="7"/>
      <c r="H11" s="7"/>
      <c r="I11" s="8"/>
      <c r="J11" s="3"/>
      <c r="K11" s="5">
        <v>8</v>
      </c>
      <c r="L11" s="7">
        <v>9</v>
      </c>
      <c r="M11" s="7">
        <f t="shared" si="3"/>
        <v>26</v>
      </c>
      <c r="N11" s="9">
        <f t="shared" si="4"/>
        <v>0.40625</v>
      </c>
      <c r="O11" s="3">
        <f t="shared" si="5"/>
        <v>10.42291259765625</v>
      </c>
    </row>
    <row r="12" spans="1:15">
      <c r="A12" s="5">
        <v>0</v>
      </c>
      <c r="B12" s="3"/>
      <c r="C12" s="3"/>
      <c r="D12" s="3"/>
      <c r="F12" s="7">
        <v>1</v>
      </c>
      <c r="G12" s="7"/>
      <c r="H12" s="7"/>
      <c r="I12" s="8"/>
      <c r="J12" s="3"/>
      <c r="K12" s="5">
        <v>8</v>
      </c>
      <c r="L12" s="7">
        <v>10</v>
      </c>
      <c r="M12" s="7">
        <f t="shared" si="3"/>
        <v>33</v>
      </c>
      <c r="N12" s="9">
        <f t="shared" si="4"/>
        <v>0.515625</v>
      </c>
      <c r="O12" s="3">
        <f t="shared" si="5"/>
        <v>10.54144287109375</v>
      </c>
    </row>
    <row r="13" spans="1:15">
      <c r="A13" s="5">
        <v>0</v>
      </c>
      <c r="B13" s="3"/>
      <c r="C13" s="3"/>
      <c r="D13" s="3"/>
      <c r="F13" s="7">
        <v>0</v>
      </c>
      <c r="G13" s="7"/>
      <c r="H13" s="7"/>
      <c r="I13" s="8"/>
      <c r="J13" s="3"/>
      <c r="K13" s="5">
        <v>10</v>
      </c>
      <c r="L13" s="7">
        <v>11</v>
      </c>
      <c r="M13" s="7">
        <f t="shared" si="3"/>
        <v>43</v>
      </c>
      <c r="N13" s="9">
        <f t="shared" si="4"/>
        <v>0.671875</v>
      </c>
      <c r="O13" s="3">
        <f t="shared" si="5"/>
        <v>10.21673583984375</v>
      </c>
    </row>
    <row r="14" spans="1:15">
      <c r="A14" s="5">
        <v>0</v>
      </c>
      <c r="B14" s="3"/>
      <c r="C14" s="3"/>
      <c r="D14" s="3"/>
      <c r="F14" s="7">
        <v>1</v>
      </c>
      <c r="G14" s="7"/>
      <c r="H14" s="7"/>
      <c r="I14" s="8"/>
      <c r="J14" s="3"/>
      <c r="K14" s="5">
        <v>6</v>
      </c>
      <c r="L14" s="7">
        <v>12</v>
      </c>
      <c r="M14" s="7">
        <f t="shared" si="3"/>
        <v>50</v>
      </c>
      <c r="N14" s="9">
        <f t="shared" si="4"/>
        <v>0.78125</v>
      </c>
      <c r="O14" s="3">
        <f t="shared" si="5"/>
        <v>10.10760498046875</v>
      </c>
    </row>
    <row r="15" spans="1:15">
      <c r="A15" s="5">
        <v>0</v>
      </c>
      <c r="B15" s="3"/>
      <c r="C15" s="3"/>
      <c r="D15" s="3"/>
      <c r="F15" s="7">
        <v>0</v>
      </c>
      <c r="G15" s="7"/>
      <c r="H15" s="7"/>
      <c r="I15" s="8"/>
      <c r="J15" s="3"/>
      <c r="K15" s="5">
        <v>7</v>
      </c>
      <c r="L15" s="7">
        <v>13</v>
      </c>
      <c r="M15" s="7">
        <f t="shared" si="3"/>
        <v>53</v>
      </c>
      <c r="N15" s="9">
        <f t="shared" si="4"/>
        <v>0.828125</v>
      </c>
      <c r="O15" s="3">
        <f t="shared" si="5"/>
        <v>10.46661376953125</v>
      </c>
    </row>
    <row r="16" spans="1:15">
      <c r="A16" s="5">
        <v>0</v>
      </c>
      <c r="B16" s="3"/>
      <c r="C16" s="3"/>
      <c r="D16" s="3"/>
      <c r="F16" s="7">
        <v>2</v>
      </c>
      <c r="G16" s="7"/>
      <c r="H16" s="7"/>
      <c r="I16" s="8"/>
      <c r="J16" s="3"/>
      <c r="K16" s="5">
        <v>14</v>
      </c>
      <c r="L16" s="7">
        <v>14</v>
      </c>
      <c r="M16" s="7">
        <f t="shared" si="3"/>
        <v>61</v>
      </c>
      <c r="N16" s="9">
        <f t="shared" si="4"/>
        <v>0.953125</v>
      </c>
      <c r="O16" s="3">
        <f t="shared" si="5"/>
        <v>9.15985107421875</v>
      </c>
    </row>
    <row r="17" spans="1:15">
      <c r="A17" s="5">
        <v>0</v>
      </c>
      <c r="B17" s="3"/>
      <c r="C17" s="3"/>
      <c r="D17" s="3"/>
      <c r="F17" s="7">
        <v>0</v>
      </c>
      <c r="G17" s="7"/>
      <c r="H17" s="7"/>
      <c r="I17" s="8"/>
      <c r="J17" s="3"/>
      <c r="K17" s="5">
        <v>10</v>
      </c>
      <c r="L17" s="7">
        <v>15</v>
      </c>
      <c r="M17" s="7">
        <f t="shared" si="3"/>
        <v>62</v>
      </c>
      <c r="N17" s="9">
        <f t="shared" si="4"/>
        <v>0.96875</v>
      </c>
      <c r="O17" s="3">
        <f t="shared" si="5"/>
        <v>9.41400146484375</v>
      </c>
    </row>
    <row r="18" spans="1:15">
      <c r="A18" s="5">
        <v>0</v>
      </c>
      <c r="B18" s="3"/>
      <c r="C18" s="3"/>
      <c r="D18" s="3"/>
      <c r="F18" s="7">
        <v>0</v>
      </c>
      <c r="G18" s="7"/>
      <c r="H18" s="7"/>
      <c r="I18" s="8"/>
      <c r="J18" s="3"/>
      <c r="K18" s="5">
        <v>7</v>
      </c>
      <c r="L18" s="7">
        <v>16</v>
      </c>
      <c r="M18" s="7">
        <f t="shared" si="3"/>
        <v>62</v>
      </c>
      <c r="N18" s="9">
        <f t="shared" si="4"/>
        <v>0.96875</v>
      </c>
      <c r="O18" s="3">
        <f t="shared" si="5"/>
        <v>10.18365478515625</v>
      </c>
    </row>
    <row r="19" spans="1:15">
      <c r="A19" s="5">
        <v>2</v>
      </c>
      <c r="B19" s="3"/>
      <c r="C19" s="3"/>
      <c r="D19" s="3"/>
      <c r="F19" s="7">
        <v>0</v>
      </c>
      <c r="G19" s="3"/>
      <c r="H19" s="3"/>
      <c r="I19" s="3"/>
      <c r="J19" s="3"/>
      <c r="K19" s="5">
        <v>9</v>
      </c>
      <c r="L19" s="7"/>
      <c r="M19" s="7"/>
      <c r="N19" s="9"/>
      <c r="O19" s="3"/>
    </row>
    <row r="20" spans="1:15">
      <c r="A20" s="5">
        <v>0</v>
      </c>
      <c r="B20" s="3"/>
      <c r="C20" s="3"/>
      <c r="D20" s="3"/>
      <c r="F20" s="7">
        <v>0</v>
      </c>
      <c r="G20" s="3"/>
      <c r="H20" s="3"/>
      <c r="I20" s="3"/>
      <c r="J20" s="3"/>
      <c r="K20" s="5">
        <v>9</v>
      </c>
      <c r="L20" s="7"/>
      <c r="M20" s="7"/>
      <c r="N20" s="9"/>
      <c r="O20" s="3"/>
    </row>
    <row r="21" spans="1:15">
      <c r="A21" s="5">
        <v>0</v>
      </c>
      <c r="B21" s="3"/>
      <c r="C21" s="3"/>
      <c r="D21" s="3"/>
      <c r="F21" s="7">
        <v>0</v>
      </c>
      <c r="G21" s="3"/>
      <c r="H21" s="3"/>
      <c r="I21" s="3"/>
      <c r="J21" s="3"/>
      <c r="K21" s="5">
        <v>11</v>
      </c>
    </row>
    <row r="22" spans="1:15">
      <c r="A22" s="5">
        <v>0</v>
      </c>
      <c r="B22" s="3"/>
      <c r="C22" s="3"/>
      <c r="D22" s="3"/>
      <c r="F22" s="7">
        <v>1</v>
      </c>
      <c r="G22" s="3"/>
      <c r="H22" s="3"/>
      <c r="I22" s="3"/>
      <c r="J22" s="3"/>
      <c r="K22" s="5">
        <v>12</v>
      </c>
    </row>
    <row r="23" spans="1:15">
      <c r="A23" s="5">
        <v>0</v>
      </c>
      <c r="B23" s="3"/>
      <c r="C23" s="3"/>
      <c r="D23" s="3"/>
      <c r="F23" s="7">
        <v>0</v>
      </c>
      <c r="G23" s="3"/>
      <c r="H23" s="3"/>
      <c r="I23" s="3"/>
      <c r="J23" s="3"/>
      <c r="K23" s="5">
        <v>9</v>
      </c>
    </row>
    <row r="24" spans="1:15">
      <c r="A24" s="5">
        <v>1</v>
      </c>
      <c r="B24" s="3"/>
      <c r="C24" s="3"/>
      <c r="D24" s="3"/>
      <c r="F24" s="7">
        <v>3</v>
      </c>
      <c r="G24" s="3"/>
      <c r="H24" s="3"/>
      <c r="I24" s="3"/>
      <c r="J24" s="3"/>
      <c r="K24" s="5">
        <v>10</v>
      </c>
    </row>
    <row r="25" spans="1:15">
      <c r="A25" s="5">
        <v>0</v>
      </c>
      <c r="B25" s="3"/>
      <c r="C25" s="3"/>
      <c r="D25" s="3"/>
      <c r="F25" s="7">
        <v>2</v>
      </c>
      <c r="G25" s="3"/>
      <c r="H25" s="3"/>
      <c r="I25" s="3"/>
      <c r="J25" s="3"/>
      <c r="K25" s="5">
        <v>11</v>
      </c>
    </row>
    <row r="26" spans="1:15">
      <c r="A26" s="5">
        <v>0</v>
      </c>
      <c r="B26" s="3"/>
      <c r="C26" s="3"/>
      <c r="D26" s="3"/>
      <c r="F26" s="7">
        <v>2</v>
      </c>
      <c r="G26" s="3"/>
      <c r="H26" s="3"/>
      <c r="I26" s="3"/>
      <c r="J26" s="3"/>
      <c r="K26" s="5">
        <v>14</v>
      </c>
    </row>
    <row r="27" spans="1:15">
      <c r="A27" s="5">
        <v>0</v>
      </c>
      <c r="B27" s="3"/>
      <c r="C27" s="3"/>
      <c r="D27" s="3"/>
      <c r="F27" s="7">
        <v>2</v>
      </c>
      <c r="G27" s="3"/>
      <c r="H27" s="3"/>
      <c r="I27" s="3"/>
      <c r="J27" s="3"/>
      <c r="K27" s="5">
        <v>13</v>
      </c>
    </row>
    <row r="28" spans="1:15">
      <c r="A28" s="5">
        <v>0</v>
      </c>
      <c r="B28" s="3"/>
      <c r="C28" s="3"/>
      <c r="D28" s="3"/>
      <c r="F28" s="7">
        <v>4</v>
      </c>
      <c r="G28" s="3"/>
      <c r="H28" s="3"/>
      <c r="I28" s="3"/>
      <c r="J28" s="3"/>
      <c r="K28" s="5">
        <v>14</v>
      </c>
    </row>
    <row r="29" spans="1:15">
      <c r="A29" s="5">
        <v>0</v>
      </c>
      <c r="B29" s="3"/>
      <c r="C29" s="3"/>
      <c r="D29" s="3"/>
      <c r="F29" s="7">
        <v>2</v>
      </c>
      <c r="G29" s="3"/>
      <c r="H29" s="3"/>
      <c r="I29" s="3"/>
      <c r="J29" s="3"/>
      <c r="K29" s="5">
        <v>7</v>
      </c>
    </row>
    <row r="30" spans="1:15">
      <c r="A30" s="5">
        <v>0</v>
      </c>
      <c r="B30" s="3"/>
      <c r="C30" s="3"/>
      <c r="D30" s="3"/>
      <c r="F30" s="7">
        <v>0</v>
      </c>
      <c r="G30" s="3"/>
      <c r="H30" s="3"/>
      <c r="I30" s="3"/>
      <c r="J30" s="3"/>
      <c r="K30" s="5">
        <v>7</v>
      </c>
    </row>
    <row r="31" spans="1:15">
      <c r="A31" s="5">
        <v>0</v>
      </c>
      <c r="B31" s="3"/>
      <c r="C31" s="3"/>
      <c r="D31" s="3"/>
      <c r="F31" s="7">
        <v>0</v>
      </c>
      <c r="G31" s="3"/>
      <c r="H31" s="3"/>
      <c r="I31" s="3"/>
      <c r="J31" s="3"/>
      <c r="K31" s="5">
        <v>12</v>
      </c>
    </row>
    <row r="32" spans="1:15">
      <c r="A32" s="5">
        <v>1</v>
      </c>
      <c r="B32" s="3"/>
      <c r="C32" s="3"/>
      <c r="D32" s="3"/>
      <c r="F32" s="7">
        <v>0</v>
      </c>
      <c r="G32" s="3"/>
      <c r="H32" s="3"/>
      <c r="I32" s="3"/>
      <c r="J32" s="3"/>
      <c r="K32" s="5">
        <v>13</v>
      </c>
    </row>
    <row r="33" spans="1:11">
      <c r="A33" s="5">
        <v>0</v>
      </c>
      <c r="F33" s="7">
        <v>0</v>
      </c>
      <c r="K33" s="5">
        <v>15</v>
      </c>
    </row>
    <row r="34" spans="1:11">
      <c r="A34" s="5">
        <v>0</v>
      </c>
      <c r="F34" s="7">
        <v>0</v>
      </c>
      <c r="K34" s="5">
        <v>13</v>
      </c>
    </row>
    <row r="35" spans="1:11">
      <c r="A35" s="5">
        <v>0</v>
      </c>
      <c r="F35" s="7">
        <v>1</v>
      </c>
      <c r="K35" s="5">
        <v>8</v>
      </c>
    </row>
    <row r="36" spans="1:11">
      <c r="A36" s="5">
        <v>0</v>
      </c>
      <c r="F36" s="7">
        <v>1</v>
      </c>
      <c r="K36" s="5">
        <v>8</v>
      </c>
    </row>
    <row r="37" spans="1:11">
      <c r="A37" s="5">
        <v>0</v>
      </c>
      <c r="F37" s="7">
        <v>3</v>
      </c>
      <c r="K37" s="5">
        <v>12</v>
      </c>
    </row>
    <row r="38" spans="1:11">
      <c r="A38" s="5">
        <v>0</v>
      </c>
      <c r="F38" s="7">
        <v>2</v>
      </c>
      <c r="K38" s="5">
        <v>11</v>
      </c>
    </row>
    <row r="39" spans="1:11">
      <c r="A39" s="5">
        <v>0</v>
      </c>
      <c r="F39" s="7">
        <v>2</v>
      </c>
      <c r="K39" s="5">
        <v>10</v>
      </c>
    </row>
    <row r="40" spans="1:11">
      <c r="A40" s="5">
        <v>0</v>
      </c>
      <c r="F40" s="7">
        <v>1</v>
      </c>
      <c r="K40" s="5">
        <v>11</v>
      </c>
    </row>
    <row r="41" spans="1:11">
      <c r="A41" s="5">
        <v>1</v>
      </c>
      <c r="F41" s="7">
        <v>1</v>
      </c>
      <c r="K41" s="5">
        <v>11</v>
      </c>
    </row>
    <row r="42" spans="1:11">
      <c r="A42" s="5">
        <v>0</v>
      </c>
      <c r="F42" s="7">
        <v>1</v>
      </c>
      <c r="K42" s="5">
        <v>8</v>
      </c>
    </row>
    <row r="43" spans="1:11">
      <c r="A43" s="5">
        <v>1</v>
      </c>
      <c r="F43" s="7">
        <v>1</v>
      </c>
      <c r="K43" s="5">
        <v>11</v>
      </c>
    </row>
    <row r="44" spans="1:11">
      <c r="A44" s="5">
        <v>0</v>
      </c>
      <c r="F44" s="7">
        <v>1</v>
      </c>
      <c r="K44" s="5">
        <v>7</v>
      </c>
    </row>
    <row r="45" spans="1:11">
      <c r="A45" s="5">
        <v>0</v>
      </c>
      <c r="F45" s="7">
        <v>2</v>
      </c>
      <c r="K45" s="5">
        <v>11</v>
      </c>
    </row>
    <row r="46" spans="1:11">
      <c r="A46" s="5">
        <v>0</v>
      </c>
      <c r="F46" s="7">
        <v>0</v>
      </c>
      <c r="K46" s="5">
        <v>9</v>
      </c>
    </row>
    <row r="47" spans="1:11">
      <c r="A47" s="5">
        <v>0</v>
      </c>
      <c r="F47" s="7">
        <v>0</v>
      </c>
      <c r="K47" s="5">
        <v>14</v>
      </c>
    </row>
    <row r="48" spans="1:11">
      <c r="A48" s="5">
        <v>0</v>
      </c>
      <c r="F48" s="7">
        <v>0</v>
      </c>
      <c r="K48" s="5">
        <v>10</v>
      </c>
    </row>
    <row r="49" spans="1:11">
      <c r="A49" s="5">
        <v>0</v>
      </c>
      <c r="F49" s="7">
        <v>1</v>
      </c>
      <c r="K49" s="5">
        <v>17</v>
      </c>
    </row>
    <row r="50" spans="1:11">
      <c r="A50" s="5">
        <v>0</v>
      </c>
      <c r="F50" s="7">
        <v>1</v>
      </c>
      <c r="K50" s="5">
        <v>6</v>
      </c>
    </row>
    <row r="51" spans="1:11">
      <c r="A51" s="5">
        <v>0</v>
      </c>
      <c r="F51" s="7">
        <v>1</v>
      </c>
      <c r="K51" s="5">
        <v>5</v>
      </c>
    </row>
    <row r="52" spans="1:11">
      <c r="A52" s="5">
        <v>0</v>
      </c>
      <c r="F52" s="7">
        <v>1</v>
      </c>
      <c r="K52" s="5">
        <v>7</v>
      </c>
    </row>
    <row r="53" spans="1:11">
      <c r="A53" s="5">
        <v>0</v>
      </c>
      <c r="F53" s="7">
        <v>1</v>
      </c>
      <c r="K53" s="5">
        <v>9</v>
      </c>
    </row>
    <row r="54" spans="1:11">
      <c r="A54" s="5">
        <v>0</v>
      </c>
      <c r="F54" s="7">
        <v>0</v>
      </c>
      <c r="K54" s="5">
        <v>11</v>
      </c>
    </row>
    <row r="55" spans="1:11">
      <c r="A55" s="5">
        <v>0</v>
      </c>
      <c r="F55" s="7">
        <v>0</v>
      </c>
      <c r="K55" s="5">
        <v>9</v>
      </c>
    </row>
    <row r="56" spans="1:11">
      <c r="A56" s="5">
        <v>0</v>
      </c>
      <c r="F56" s="7">
        <v>4</v>
      </c>
      <c r="K56" s="5">
        <v>10</v>
      </c>
    </row>
    <row r="57" spans="1:11">
      <c r="A57" s="5">
        <v>0</v>
      </c>
      <c r="F57" s="7">
        <v>1</v>
      </c>
      <c r="K57" s="5">
        <v>9</v>
      </c>
    </row>
    <row r="58" spans="1:11">
      <c r="A58" s="5">
        <v>1</v>
      </c>
      <c r="F58" s="7">
        <v>5</v>
      </c>
      <c r="K58" s="5">
        <v>12</v>
      </c>
    </row>
    <row r="59" spans="1:11">
      <c r="A59" s="5">
        <v>0</v>
      </c>
      <c r="F59" s="7">
        <v>1</v>
      </c>
      <c r="K59" s="5">
        <v>7</v>
      </c>
    </row>
    <row r="60" spans="1:11">
      <c r="A60" s="5">
        <v>0</v>
      </c>
      <c r="F60" s="7">
        <v>2</v>
      </c>
      <c r="K60" s="5">
        <v>8</v>
      </c>
    </row>
    <row r="61" spans="1:11">
      <c r="A61" s="5">
        <v>0</v>
      </c>
      <c r="F61" s="7">
        <v>1</v>
      </c>
      <c r="K61" s="5">
        <v>17</v>
      </c>
    </row>
    <row r="62" spans="1:11">
      <c r="A62" s="5">
        <v>1</v>
      </c>
      <c r="F62" s="7">
        <v>1</v>
      </c>
      <c r="K62" s="5">
        <v>12</v>
      </c>
    </row>
    <row r="63" spans="1:11">
      <c r="A63" s="5">
        <v>1</v>
      </c>
      <c r="F63" s="7">
        <v>2</v>
      </c>
      <c r="K63" s="5">
        <v>12</v>
      </c>
    </row>
    <row r="64" spans="1:11">
      <c r="A64" s="5">
        <v>0</v>
      </c>
      <c r="F64" s="7">
        <v>0</v>
      </c>
      <c r="K64" s="5">
        <v>7</v>
      </c>
    </row>
    <row r="65" spans="1:11">
      <c r="A65" s="5">
        <v>0</v>
      </c>
      <c r="F65" s="7">
        <v>1</v>
      </c>
      <c r="K65" s="5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3"/>
  <sheetViews>
    <sheetView showGridLines="0" zoomScale="130" zoomScaleNormal="130" workbookViewId="0">
      <selection activeCell="D13" sqref="D13"/>
    </sheetView>
  </sheetViews>
  <sheetFormatPr defaultRowHeight="16.5"/>
  <cols>
    <col min="1" max="1" width="4" style="1" bestFit="1" customWidth="1"/>
    <col min="2" max="2" width="5.5" style="1" bestFit="1" customWidth="1"/>
    <col min="3" max="3" width="8.375" style="1" bestFit="1" customWidth="1"/>
    <col min="4" max="4" width="7.5" style="1" customWidth="1"/>
    <col min="5" max="5" width="5.375" style="1" bestFit="1" customWidth="1"/>
    <col min="6" max="6" width="7.5" style="1" bestFit="1" customWidth="1"/>
    <col min="7" max="7" width="7.5" style="1" customWidth="1"/>
    <col min="8" max="8" width="6.5" style="1" bestFit="1" customWidth="1"/>
    <col min="9" max="9" width="7.5" style="1" bestFit="1" customWidth="1"/>
    <col min="10" max="10" width="8.125" style="1" bestFit="1" customWidth="1"/>
    <col min="11" max="16384" width="9" style="1"/>
  </cols>
  <sheetData>
    <row r="1" spans="1:10">
      <c r="A1" s="1" t="s">
        <v>9</v>
      </c>
      <c r="B1" s="1">
        <v>4</v>
      </c>
      <c r="C1" s="20" t="s">
        <v>7</v>
      </c>
      <c r="D1" s="1" t="s">
        <v>10</v>
      </c>
      <c r="F1" s="1" t="s">
        <v>7</v>
      </c>
      <c r="G1" s="1" t="s">
        <v>10</v>
      </c>
      <c r="I1" s="1" t="s">
        <v>7</v>
      </c>
      <c r="J1" s="1" t="s">
        <v>10</v>
      </c>
    </row>
    <row r="2" spans="1:10">
      <c r="B2" s="1" t="s">
        <v>6</v>
      </c>
      <c r="C2" s="20" t="s">
        <v>6</v>
      </c>
      <c r="D2" s="1" t="str">
        <f>"R="&amp;Redundancy</f>
        <v>R=4</v>
      </c>
      <c r="E2" s="1" t="s">
        <v>11</v>
      </c>
      <c r="F2" s="1" t="s">
        <v>12</v>
      </c>
      <c r="G2" s="1" t="str">
        <f>"R="&amp;Redundancy</f>
        <v>R=4</v>
      </c>
      <c r="H2" s="1" t="s">
        <v>13</v>
      </c>
      <c r="I2" s="1" t="s">
        <v>8</v>
      </c>
      <c r="J2" s="1" t="str">
        <f>"R="&amp;Redundancy</f>
        <v>R=4</v>
      </c>
    </row>
    <row r="3" spans="1:10">
      <c r="A3" s="10"/>
      <c r="B3" s="18">
        <v>0.1</v>
      </c>
      <c r="C3" s="21">
        <f t="shared" ref="C3:C13" si="0">EXP(-B3)</f>
        <v>0.90483741803595952</v>
      </c>
      <c r="D3" s="11">
        <f t="shared" ref="D3:D13" si="1">POISSON(Redundancy,B3,1)</f>
        <v>0.99999992332198573</v>
      </c>
      <c r="E3" s="18">
        <v>2</v>
      </c>
      <c r="F3" s="11">
        <f>EXP(-($B3+E3))</f>
        <v>0.12245642825298191</v>
      </c>
      <c r="G3" s="11">
        <f t="shared" ref="G3:G13" si="2">POISSON(Redundancy,$B3+E3,1)</f>
        <v>0.93787388482001177</v>
      </c>
      <c r="H3" s="18">
        <f>B3*1</f>
        <v>0.1</v>
      </c>
      <c r="I3" s="11">
        <f>EXP(-($B3+H3))</f>
        <v>0.81873075307798182</v>
      </c>
      <c r="J3" s="11">
        <f t="shared" ref="J3:J13" si="3">POISSON(Redundancy,$B3+H3,1)</f>
        <v>0.99999774180944756</v>
      </c>
    </row>
    <row r="4" spans="1:10">
      <c r="A4" s="11"/>
      <c r="B4" s="18">
        <f>B3*2</f>
        <v>0.2</v>
      </c>
      <c r="C4" s="21">
        <f t="shared" si="0"/>
        <v>0.81873075307798182</v>
      </c>
      <c r="D4" s="11">
        <f t="shared" si="1"/>
        <v>0.99999774180944756</v>
      </c>
      <c r="E4" s="19">
        <f>E3</f>
        <v>2</v>
      </c>
      <c r="F4" s="11">
        <f t="shared" ref="F4:F13" si="4">EXP(-($B4+E4))</f>
        <v>0.11080315836233387</v>
      </c>
      <c r="G4" s="11">
        <f t="shared" si="2"/>
        <v>0.92750369114220377</v>
      </c>
      <c r="H4" s="18">
        <f t="shared" ref="H4:H13" si="5">B4*1</f>
        <v>0.2</v>
      </c>
      <c r="I4" s="11">
        <f t="shared" ref="I4:I13" si="6">EXP(-($B4+H4))</f>
        <v>0.67032004603563933</v>
      </c>
      <c r="J4" s="11">
        <f t="shared" si="3"/>
        <v>0.99993875667289855</v>
      </c>
    </row>
    <row r="5" spans="1:10">
      <c r="A5" s="11"/>
      <c r="B5" s="18">
        <f t="shared" ref="B5:B13" si="7">B4*2</f>
        <v>0.4</v>
      </c>
      <c r="C5" s="21">
        <f t="shared" si="0"/>
        <v>0.67032004603563933</v>
      </c>
      <c r="D5" s="11">
        <f t="shared" si="1"/>
        <v>0.99993875667289855</v>
      </c>
      <c r="E5" s="19">
        <f t="shared" ref="E5:E13" si="8">E4</f>
        <v>2</v>
      </c>
      <c r="F5" s="11">
        <f t="shared" si="4"/>
        <v>9.0717953289412512E-2</v>
      </c>
      <c r="G5" s="11">
        <f t="shared" si="2"/>
        <v>0.90413140966361993</v>
      </c>
      <c r="H5" s="18">
        <f t="shared" si="5"/>
        <v>0.4</v>
      </c>
      <c r="I5" s="11">
        <f t="shared" si="6"/>
        <v>0.44932896411722156</v>
      </c>
      <c r="J5" s="11">
        <f t="shared" si="3"/>
        <v>0.99858868985412585</v>
      </c>
    </row>
    <row r="6" spans="1:10">
      <c r="A6" s="11"/>
      <c r="B6" s="18">
        <f t="shared" si="7"/>
        <v>0.8</v>
      </c>
      <c r="C6" s="21">
        <f t="shared" si="0"/>
        <v>0.44932896411722156</v>
      </c>
      <c r="D6" s="11">
        <f t="shared" si="1"/>
        <v>0.99858868985412585</v>
      </c>
      <c r="E6" s="19">
        <f t="shared" si="8"/>
        <v>2</v>
      </c>
      <c r="F6" s="11">
        <f t="shared" si="4"/>
        <v>6.0810062625217973E-2</v>
      </c>
      <c r="G6" s="11">
        <f t="shared" si="2"/>
        <v>0.8476760569788433</v>
      </c>
      <c r="H6" s="18">
        <f t="shared" si="5"/>
        <v>0.8</v>
      </c>
      <c r="I6" s="11">
        <f t="shared" si="6"/>
        <v>0.20189651799465538</v>
      </c>
      <c r="J6" s="11">
        <f t="shared" si="3"/>
        <v>0.97631772195070166</v>
      </c>
    </row>
    <row r="7" spans="1:10">
      <c r="A7" s="11"/>
      <c r="B7" s="18">
        <v>1</v>
      </c>
      <c r="C7" s="21">
        <f t="shared" si="0"/>
        <v>0.36787944117144233</v>
      </c>
      <c r="D7" s="11">
        <f t="shared" si="1"/>
        <v>0.99634015317267477</v>
      </c>
      <c r="E7" s="19">
        <f t="shared" si="8"/>
        <v>2</v>
      </c>
      <c r="F7" s="11">
        <f t="shared" si="4"/>
        <v>4.9787068367863944E-2</v>
      </c>
      <c r="G7" s="11">
        <f t="shared" si="2"/>
        <v>0.81526324452379295</v>
      </c>
      <c r="H7" s="18">
        <f t="shared" si="5"/>
        <v>1</v>
      </c>
      <c r="I7" s="11">
        <f t="shared" si="6"/>
        <v>0.1353352832366127</v>
      </c>
      <c r="J7" s="11">
        <f t="shared" si="3"/>
        <v>0.94734698265629469</v>
      </c>
    </row>
    <row r="8" spans="1:10">
      <c r="A8" s="12"/>
      <c r="B8" s="18">
        <f t="shared" si="7"/>
        <v>2</v>
      </c>
      <c r="C8" s="21">
        <f t="shared" si="0"/>
        <v>0.1353352832366127</v>
      </c>
      <c r="D8" s="11">
        <f t="shared" si="1"/>
        <v>0.94734698265629469</v>
      </c>
      <c r="E8" s="19">
        <f t="shared" si="8"/>
        <v>2</v>
      </c>
      <c r="F8" s="11">
        <f t="shared" si="4"/>
        <v>1.8315638888734179E-2</v>
      </c>
      <c r="G8" s="11">
        <f t="shared" si="2"/>
        <v>0.62883693517987671</v>
      </c>
      <c r="H8" s="18">
        <f t="shared" si="5"/>
        <v>2</v>
      </c>
      <c r="I8" s="11">
        <f t="shared" si="6"/>
        <v>1.8315638888734179E-2</v>
      </c>
      <c r="J8" s="11">
        <f t="shared" si="3"/>
        <v>0.62883693517987671</v>
      </c>
    </row>
    <row r="9" spans="1:10">
      <c r="A9" s="13"/>
      <c r="B9" s="18">
        <f t="shared" si="7"/>
        <v>4</v>
      </c>
      <c r="C9" s="21">
        <f t="shared" si="0"/>
        <v>1.8315638888734179E-2</v>
      </c>
      <c r="D9" s="11">
        <f t="shared" si="1"/>
        <v>0.62883693517987671</v>
      </c>
      <c r="E9" s="19">
        <f t="shared" si="8"/>
        <v>2</v>
      </c>
      <c r="F9" s="11">
        <f t="shared" si="4"/>
        <v>2.4787521766663585E-3</v>
      </c>
      <c r="G9" s="11">
        <f t="shared" si="2"/>
        <v>0.28505650031663593</v>
      </c>
      <c r="H9" s="18">
        <f t="shared" si="5"/>
        <v>4</v>
      </c>
      <c r="I9" s="11">
        <f t="shared" si="6"/>
        <v>3.3546262790251185E-4</v>
      </c>
      <c r="J9" s="11">
        <f t="shared" si="3"/>
        <v>9.9632400487047662E-2</v>
      </c>
    </row>
    <row r="10" spans="1:10">
      <c r="A10" s="14"/>
      <c r="B10" s="18">
        <f t="shared" si="7"/>
        <v>8</v>
      </c>
      <c r="C10" s="21">
        <f t="shared" si="0"/>
        <v>3.3546262790251185E-4</v>
      </c>
      <c r="D10" s="11">
        <f t="shared" si="1"/>
        <v>9.9632400487047662E-2</v>
      </c>
      <c r="E10" s="19">
        <f t="shared" si="8"/>
        <v>2</v>
      </c>
      <c r="F10" s="11">
        <f t="shared" si="4"/>
        <v>4.5399929762484854E-5</v>
      </c>
      <c r="G10" s="11">
        <f t="shared" si="2"/>
        <v>2.9252688076961349E-2</v>
      </c>
      <c r="H10" s="18">
        <f t="shared" si="5"/>
        <v>8</v>
      </c>
      <c r="I10" s="11">
        <f t="shared" si="6"/>
        <v>1.1253517471925912E-7</v>
      </c>
      <c r="J10" s="11">
        <f t="shared" si="3"/>
        <v>4.0043766337603863E-4</v>
      </c>
    </row>
    <row r="11" spans="1:10">
      <c r="A11" s="15"/>
      <c r="B11" s="18">
        <f t="shared" si="7"/>
        <v>16</v>
      </c>
      <c r="C11" s="21">
        <f t="shared" si="0"/>
        <v>1.1253517471925912E-7</v>
      </c>
      <c r="D11" s="11">
        <f t="shared" si="1"/>
        <v>4.0043766337603863E-4</v>
      </c>
      <c r="E11" s="19">
        <f t="shared" si="8"/>
        <v>2</v>
      </c>
      <c r="F11" s="11">
        <f t="shared" si="4"/>
        <v>1.5229979744712629E-8</v>
      </c>
      <c r="G11" s="11">
        <f t="shared" si="2"/>
        <v>8.4176098049028208E-5</v>
      </c>
      <c r="H11" s="18">
        <f t="shared" si="5"/>
        <v>16</v>
      </c>
      <c r="I11" s="11">
        <f t="shared" si="6"/>
        <v>1.2664165549094176E-14</v>
      </c>
      <c r="J11" s="11">
        <f t="shared" si="3"/>
        <v>6.2937103529334371E-10</v>
      </c>
    </row>
    <row r="12" spans="1:10">
      <c r="A12" s="16"/>
      <c r="B12" s="18">
        <f t="shared" si="7"/>
        <v>32</v>
      </c>
      <c r="C12" s="21">
        <f t="shared" si="0"/>
        <v>1.2664165549094176E-14</v>
      </c>
      <c r="D12" s="11">
        <f t="shared" si="1"/>
        <v>6.2937103529334371E-10</v>
      </c>
      <c r="E12" s="19">
        <f t="shared" si="8"/>
        <v>2</v>
      </c>
      <c r="F12" s="11">
        <f t="shared" si="4"/>
        <v>1.713908431542013E-15</v>
      </c>
      <c r="G12" s="11">
        <f t="shared" si="2"/>
        <v>1.0770771886620787E-10</v>
      </c>
      <c r="H12" s="18">
        <f t="shared" si="5"/>
        <v>32</v>
      </c>
      <c r="I12" s="11">
        <f t="shared" si="6"/>
        <v>1.6038108905486379E-28</v>
      </c>
      <c r="J12" s="11">
        <f t="shared" si="3"/>
        <v>0</v>
      </c>
    </row>
    <row r="13" spans="1:10">
      <c r="A13" s="17"/>
      <c r="B13" s="18">
        <f t="shared" si="7"/>
        <v>64</v>
      </c>
      <c r="C13" s="21">
        <f t="shared" si="0"/>
        <v>1.6038108905486379E-28</v>
      </c>
      <c r="D13" s="11">
        <f t="shared" si="1"/>
        <v>0</v>
      </c>
      <c r="E13" s="19">
        <f t="shared" si="8"/>
        <v>2</v>
      </c>
      <c r="F13" s="11">
        <f t="shared" si="4"/>
        <v>2.1705220113036395E-29</v>
      </c>
      <c r="G13" s="11">
        <f t="shared" si="2"/>
        <v>0</v>
      </c>
      <c r="H13" s="18">
        <f t="shared" si="5"/>
        <v>64</v>
      </c>
      <c r="I13" s="11">
        <f t="shared" si="6"/>
        <v>2.5722093726424148E-56</v>
      </c>
      <c r="J13" s="11">
        <f t="shared" si="3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4</vt:i4>
      </vt:variant>
    </vt:vector>
  </HeadingPairs>
  <TitlesOfParts>
    <vt:vector size="6" baseType="lpstr">
      <vt:lpstr>Sheet1</vt:lpstr>
      <vt:lpstr>Sheet2</vt:lpstr>
      <vt:lpstr>FBU</vt:lpstr>
      <vt:lpstr>FXM</vt:lpstr>
      <vt:lpstr>Redundancy</vt:lpstr>
      <vt:lpstr>RPF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2015-04-19T13:34:50Z</dcterms:created>
  <dcterms:modified xsi:type="dcterms:W3CDTF">2015-11-29T06:22:22Z</dcterms:modified>
</cp:coreProperties>
</file>