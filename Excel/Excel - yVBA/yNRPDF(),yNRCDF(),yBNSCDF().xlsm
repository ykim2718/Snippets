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30" windowWidth="17235" windowHeight="7830"/>
  </bookViews>
  <sheets>
    <sheet name="yNRCDF(),PDF()" sheetId="1" r:id="rId1"/>
    <sheet name="yBNSCDF()" sheetId="2" r:id="rId2"/>
  </sheets>
  <functionGroups/>
  <calcPr calcId="125725"/>
</workbook>
</file>

<file path=xl/calcChain.xml><?xml version="1.0" encoding="utf-8"?>
<calcChain xmlns="http://schemas.openxmlformats.org/spreadsheetml/2006/main">
  <c r="A3" i="1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2"/>
  <c r="A2"/>
  <c r="E4" i="2"/>
  <c r="G10"/>
  <c r="I8"/>
  <c r="J14"/>
  <c r="H14"/>
  <c r="E5"/>
  <c r="E12"/>
  <c r="J15"/>
  <c r="C4"/>
  <c r="E10"/>
  <c r="G8"/>
  <c r="J12"/>
  <c r="H12"/>
  <c r="C15"/>
  <c r="E7"/>
  <c r="G9"/>
  <c r="K13"/>
  <c r="I13"/>
  <c r="G13"/>
  <c r="G11"/>
  <c r="F12"/>
  <c r="D3"/>
  <c r="E6"/>
  <c r="I15"/>
  <c r="K7"/>
  <c r="D10"/>
  <c r="F8"/>
  <c r="J11"/>
  <c r="H11"/>
  <c r="C12"/>
  <c r="C16"/>
  <c r="I4"/>
  <c r="K10"/>
  <c r="D9"/>
  <c r="K6"/>
  <c r="I6"/>
  <c r="D12"/>
  <c r="F16"/>
  <c r="F6"/>
  <c r="G4"/>
  <c r="I10"/>
  <c r="K8"/>
  <c r="K3"/>
  <c r="I3"/>
  <c r="G15"/>
  <c r="I7"/>
  <c r="K9"/>
  <c r="D8"/>
  <c r="J5"/>
  <c r="H5"/>
  <c r="G12"/>
  <c r="G16"/>
  <c r="F5"/>
  <c r="G14"/>
  <c r="G6"/>
  <c r="F4"/>
  <c r="H10"/>
  <c r="J8"/>
  <c r="J16"/>
  <c r="H16"/>
  <c r="D16"/>
  <c r="C6"/>
  <c r="D15"/>
  <c r="F7"/>
  <c r="H9"/>
  <c r="K14"/>
  <c r="I14"/>
  <c r="E16"/>
  <c r="E11"/>
  <c r="D14"/>
  <c r="K4"/>
  <c r="D7"/>
  <c r="F9"/>
  <c r="K12"/>
  <c r="I12"/>
  <c r="K15"/>
  <c r="D4"/>
  <c r="F10"/>
  <c r="H8"/>
  <c r="J13"/>
  <c r="H13"/>
  <c r="C3"/>
  <c r="G5"/>
  <c r="F14"/>
  <c r="F11"/>
  <c r="E13"/>
  <c r="J4"/>
  <c r="C7"/>
  <c r="E9"/>
  <c r="K11"/>
  <c r="I11"/>
  <c r="D5"/>
  <c r="D13"/>
  <c r="F3"/>
  <c r="H15"/>
  <c r="J7"/>
  <c r="C10"/>
  <c r="E8"/>
  <c r="J6"/>
  <c r="H6"/>
  <c r="E14"/>
  <c r="D6"/>
  <c r="F15"/>
  <c r="H7"/>
  <c r="J9"/>
  <c r="C8"/>
  <c r="J3"/>
  <c r="H3"/>
  <c r="H4"/>
  <c r="J10"/>
  <c r="C9"/>
  <c r="K5"/>
  <c r="I5"/>
  <c r="C5"/>
  <c r="C14"/>
  <c r="C11"/>
  <c r="F13"/>
  <c r="E3"/>
  <c r="E15"/>
  <c r="G7"/>
  <c r="I9"/>
  <c r="K16"/>
  <c r="I16"/>
  <c r="C13"/>
  <c r="G3"/>
  <c r="D11"/>
  <c r="C12" i="1" l="1"/>
  <c r="C70"/>
  <c r="C22"/>
  <c r="C6"/>
  <c r="C17"/>
  <c r="C97"/>
  <c r="C93"/>
  <c r="C81"/>
  <c r="C77"/>
  <c r="C65"/>
  <c r="C61"/>
  <c r="C49"/>
  <c r="C45"/>
  <c r="C33"/>
  <c r="C29"/>
  <c r="C13"/>
  <c r="C92"/>
  <c r="C76"/>
  <c r="C60"/>
  <c r="C28"/>
  <c r="C44"/>
  <c r="C98"/>
  <c r="C86"/>
  <c r="C82"/>
  <c r="C66"/>
  <c r="C54"/>
  <c r="C50"/>
  <c r="C38"/>
  <c r="C34"/>
  <c r="C18"/>
  <c r="C94"/>
  <c r="C90"/>
  <c r="C78"/>
  <c r="C74"/>
  <c r="C62"/>
  <c r="C58"/>
  <c r="C46"/>
  <c r="C42"/>
  <c r="C30"/>
  <c r="C26"/>
  <c r="C14"/>
  <c r="C10"/>
  <c r="C96"/>
  <c r="C88"/>
  <c r="C80"/>
  <c r="C72"/>
  <c r="C68"/>
  <c r="C64"/>
  <c r="C56"/>
  <c r="C52"/>
  <c r="C48"/>
  <c r="C40"/>
  <c r="C36"/>
  <c r="C32"/>
  <c r="C24"/>
  <c r="C20"/>
  <c r="C16"/>
  <c r="C8"/>
  <c r="C4"/>
  <c r="C101"/>
  <c r="C89"/>
  <c r="C85"/>
  <c r="C73"/>
  <c r="C69"/>
  <c r="C57"/>
  <c r="C53"/>
  <c r="C41"/>
  <c r="C37"/>
  <c r="C25"/>
  <c r="C21"/>
  <c r="C9"/>
  <c r="C5"/>
  <c r="C100"/>
  <c r="C84"/>
  <c r="C2"/>
  <c r="C99"/>
  <c r="C95"/>
  <c r="C91"/>
  <c r="C87"/>
  <c r="C83"/>
  <c r="C79"/>
  <c r="C75"/>
  <c r="C71"/>
  <c r="C67"/>
  <c r="C63"/>
  <c r="C59"/>
  <c r="C55"/>
  <c r="C51"/>
  <c r="C47"/>
  <c r="C43"/>
  <c r="C39"/>
  <c r="C35"/>
  <c r="C31"/>
  <c r="C27"/>
  <c r="C23"/>
  <c r="C19"/>
  <c r="C15"/>
  <c r="C11"/>
  <c r="C7"/>
  <c r="C3"/>
  <c r="D13"/>
  <c r="D90"/>
  <c r="D64"/>
  <c r="D69"/>
  <c r="D83"/>
  <c r="D19"/>
  <c r="D73"/>
  <c r="D55"/>
  <c r="D33"/>
  <c r="D10"/>
  <c r="D21"/>
  <c r="D12"/>
  <c r="D46"/>
  <c r="D25"/>
  <c r="D15"/>
  <c r="D29"/>
  <c r="D94"/>
  <c r="D48"/>
  <c r="D97"/>
  <c r="D74"/>
  <c r="D84"/>
  <c r="D17"/>
  <c r="D78"/>
  <c r="D57"/>
  <c r="D2"/>
  <c r="E66"/>
  <c r="E49"/>
  <c r="E29"/>
  <c r="E14"/>
  <c r="E11"/>
  <c r="E62"/>
  <c r="E47"/>
  <c r="E74"/>
  <c r="E23"/>
  <c r="E12"/>
  <c r="E30"/>
  <c r="E52"/>
  <c r="E77"/>
  <c r="E98"/>
  <c r="E59"/>
  <c r="E71"/>
  <c r="E61"/>
  <c r="E64"/>
  <c r="E99"/>
  <c r="E43"/>
  <c r="E80"/>
  <c r="E75"/>
  <c r="E24"/>
  <c r="E25"/>
  <c r="E85"/>
  <c r="D58"/>
  <c r="D67"/>
  <c r="D3"/>
  <c r="D98"/>
  <c r="D52"/>
  <c r="D80"/>
  <c r="D60"/>
  <c r="D62"/>
  <c r="D72"/>
  <c r="D75"/>
  <c r="D100"/>
  <c r="E2"/>
  <c r="E70"/>
  <c r="E35"/>
  <c r="E21"/>
  <c r="E40"/>
  <c r="E69"/>
  <c r="E27"/>
  <c r="E9"/>
  <c r="E38"/>
  <c r="E60"/>
  <c r="E37"/>
  <c r="E45"/>
  <c r="E32"/>
  <c r="E53"/>
  <c r="D49"/>
  <c r="D38"/>
  <c r="D88"/>
  <c r="D101"/>
  <c r="D99"/>
  <c r="D35"/>
  <c r="D24"/>
  <c r="D71"/>
  <c r="D70"/>
  <c r="D42"/>
  <c r="D85"/>
  <c r="D27"/>
  <c r="D34"/>
  <c r="D89"/>
  <c r="D47"/>
  <c r="D61"/>
  <c r="D50"/>
  <c r="D68"/>
  <c r="D39"/>
  <c r="D54"/>
  <c r="D53"/>
  <c r="D11"/>
  <c r="D66"/>
  <c r="D16"/>
  <c r="D31"/>
  <c r="E48"/>
  <c r="E28"/>
  <c r="E90"/>
  <c r="E89"/>
  <c r="E91"/>
  <c r="E94"/>
  <c r="E39"/>
  <c r="E81"/>
  <c r="E50"/>
  <c r="E63"/>
  <c r="E44"/>
  <c r="E96"/>
  <c r="E86"/>
  <c r="E3"/>
  <c r="E82"/>
  <c r="E58"/>
  <c r="E13"/>
  <c r="E83"/>
  <c r="E4"/>
  <c r="E6"/>
  <c r="E42"/>
  <c r="E20"/>
  <c r="E72"/>
  <c r="E33"/>
  <c r="E41"/>
  <c r="D6"/>
  <c r="D40"/>
  <c r="D41"/>
  <c r="D91"/>
  <c r="D95"/>
  <c r="D4"/>
  <c r="D14"/>
  <c r="E22"/>
  <c r="E95"/>
  <c r="E17"/>
  <c r="E19"/>
  <c r="E87"/>
  <c r="E34"/>
  <c r="D81"/>
  <c r="D82"/>
  <c r="D26"/>
  <c r="D20"/>
  <c r="D5"/>
  <c r="D51"/>
  <c r="D96"/>
  <c r="D9"/>
  <c r="D7"/>
  <c r="D18"/>
  <c r="D8"/>
  <c r="D59"/>
  <c r="D44"/>
  <c r="D36"/>
  <c r="D79"/>
  <c r="D93"/>
  <c r="D86"/>
  <c r="D30"/>
  <c r="D87"/>
  <c r="D76"/>
  <c r="D32"/>
  <c r="D43"/>
  <c r="D92"/>
  <c r="D56"/>
  <c r="D63"/>
  <c r="E101"/>
  <c r="E16"/>
  <c r="E15"/>
  <c r="E56"/>
  <c r="E51"/>
  <c r="E100"/>
  <c r="E88"/>
  <c r="E7"/>
  <c r="E31"/>
  <c r="E26"/>
  <c r="E46"/>
  <c r="E55"/>
  <c r="E5"/>
  <c r="E73"/>
  <c r="E84"/>
  <c r="E68"/>
  <c r="E18"/>
  <c r="E65"/>
  <c r="E8"/>
  <c r="E10"/>
  <c r="E79"/>
  <c r="E92"/>
  <c r="E54"/>
  <c r="E97"/>
  <c r="E67"/>
  <c r="D28"/>
  <c r="D37"/>
  <c r="D23"/>
  <c r="D45"/>
  <c r="D22"/>
  <c r="D65"/>
  <c r="D77"/>
  <c r="E78"/>
  <c r="E76"/>
  <c r="E93"/>
  <c r="E36"/>
  <c r="E57"/>
</calcChain>
</file>

<file path=xl/sharedStrings.xml><?xml version="1.0" encoding="utf-8"?>
<sst xmlns="http://schemas.openxmlformats.org/spreadsheetml/2006/main" count="10" uniqueCount="10">
  <si>
    <t>n(673,138^2)</t>
    <phoneticPr fontId="1" type="noConversion"/>
  </si>
  <si>
    <t>p(576,113^2)</t>
    <phoneticPr fontId="1" type="noConversion"/>
  </si>
  <si>
    <t>z=n/p</t>
    <phoneticPr fontId="1" type="noConversion"/>
  </si>
  <si>
    <t xml:space="preserve"> </t>
  </si>
  <si>
    <t>Rho, hardware correlation coeff</t>
    <phoneticPr fontId="1" type="noConversion"/>
  </si>
  <si>
    <t>NRCDF</t>
    <phoneticPr fontId="1" type="noConversion"/>
  </si>
  <si>
    <t>NRPDF(673,138,576,113,0.322,n/p)</t>
    <phoneticPr fontId="1" type="noConversion"/>
  </si>
  <si>
    <t>Rho</t>
    <phoneticPr fontId="1" type="noConversion"/>
  </si>
  <si>
    <t>x1</t>
    <phoneticPr fontId="1" type="noConversion"/>
  </si>
  <si>
    <t>x2</t>
    <phoneticPr fontId="1" type="noConversion"/>
  </si>
</sst>
</file>

<file path=xl/styles.xml><?xml version="1.0" encoding="utf-8"?>
<styleSheet xmlns="http://schemas.openxmlformats.org/spreadsheetml/2006/main">
  <numFmts count="3">
    <numFmt numFmtId="176" formatCode="0.00_ "/>
    <numFmt numFmtId="177" formatCode="0_ "/>
    <numFmt numFmtId="178" formatCode="0.000_ "/>
  </numFmts>
  <fonts count="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textRotation="90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quotePrefix="1" applyNumberFormat="1">
      <alignment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right"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autoTitleDeleted val="1"/>
    <c:plotArea>
      <c:layout>
        <c:manualLayout>
          <c:layoutTarget val="inner"/>
          <c:xMode val="edge"/>
          <c:yMode val="edge"/>
          <c:x val="0.19103964646464647"/>
          <c:y val="4.1024691358024799E-2"/>
          <c:w val="0.76479570707070899"/>
          <c:h val="0.77905617283950723"/>
        </c:manualLayout>
      </c:layout>
      <c:scatterChart>
        <c:scatterStyle val="lineMarker"/>
        <c:ser>
          <c:idx val="0"/>
          <c:order val="0"/>
          <c:tx>
            <c:strRef>
              <c:f>'yNRCDF(),PDF()'!$E$1</c:f>
              <c:strCache>
                <c:ptCount val="1"/>
                <c:pt idx="0">
                  <c:v>NRCDF</c:v>
                </c:pt>
              </c:strCache>
            </c:strRef>
          </c:tx>
          <c:spPr>
            <a:ln w="28575">
              <a:noFill/>
            </a:ln>
          </c:spPr>
          <c:xVal>
            <c:numRef>
              <c:f>'yNRCDF(),PDF()'!$C$2:$C$101</c:f>
              <c:numCache>
                <c:formatCode>0.00_ </c:formatCode>
                <c:ptCount val="100"/>
                <c:pt idx="0">
                  <c:v>1.7092074747171726</c:v>
                </c:pt>
                <c:pt idx="1">
                  <c:v>1.2997716522204836</c:v>
                </c:pt>
                <c:pt idx="2">
                  <c:v>0.94192370858572294</c:v>
                </c:pt>
                <c:pt idx="3">
                  <c:v>1.3821942484729044</c:v>
                </c:pt>
                <c:pt idx="4">
                  <c:v>0.99910586301964976</c:v>
                </c:pt>
                <c:pt idx="5">
                  <c:v>0.99326535851067854</c:v>
                </c:pt>
                <c:pt idx="6">
                  <c:v>1.0941883430871857</c:v>
                </c:pt>
                <c:pt idx="7">
                  <c:v>2.3398994070714791</c:v>
                </c:pt>
                <c:pt idx="8">
                  <c:v>1.0674600799926341</c:v>
                </c:pt>
                <c:pt idx="9">
                  <c:v>1.0999609321111092</c:v>
                </c:pt>
                <c:pt idx="10">
                  <c:v>0.83612516020107175</c:v>
                </c:pt>
                <c:pt idx="11">
                  <c:v>1.6698905815598044</c:v>
                </c:pt>
                <c:pt idx="12">
                  <c:v>1.4860992383888372</c:v>
                </c:pt>
                <c:pt idx="13">
                  <c:v>2.1642636994568885</c:v>
                </c:pt>
                <c:pt idx="14">
                  <c:v>0.88030048998473864</c:v>
                </c:pt>
                <c:pt idx="15">
                  <c:v>1.0081310489945814</c:v>
                </c:pt>
                <c:pt idx="16">
                  <c:v>1.373988639544877</c:v>
                </c:pt>
                <c:pt idx="17">
                  <c:v>1.3057678792057021</c:v>
                </c:pt>
                <c:pt idx="18">
                  <c:v>2.0556216878268168</c:v>
                </c:pt>
                <c:pt idx="19">
                  <c:v>1.4799500017543874</c:v>
                </c:pt>
                <c:pt idx="20">
                  <c:v>2.191701684896596</c:v>
                </c:pt>
                <c:pt idx="21">
                  <c:v>2.4204582660026923</c:v>
                </c:pt>
                <c:pt idx="22">
                  <c:v>0.97468335472819712</c:v>
                </c:pt>
                <c:pt idx="23">
                  <c:v>1.1546467246454302</c:v>
                </c:pt>
                <c:pt idx="24">
                  <c:v>0.94014832844512641</c:v>
                </c:pt>
                <c:pt idx="25">
                  <c:v>1.5719491535261778</c:v>
                </c:pt>
                <c:pt idx="26">
                  <c:v>1.9070378359694058</c:v>
                </c:pt>
                <c:pt idx="27">
                  <c:v>1.9821139929772544</c:v>
                </c:pt>
                <c:pt idx="28">
                  <c:v>1.7485503800355735</c:v>
                </c:pt>
                <c:pt idx="29">
                  <c:v>1.2746635426534241</c:v>
                </c:pt>
                <c:pt idx="30">
                  <c:v>1.4611342602821624</c:v>
                </c:pt>
                <c:pt idx="31">
                  <c:v>0.98530592385196092</c:v>
                </c:pt>
                <c:pt idx="32">
                  <c:v>1.2254489738883418</c:v>
                </c:pt>
                <c:pt idx="33">
                  <c:v>1.6478699487133053</c:v>
                </c:pt>
                <c:pt idx="34">
                  <c:v>0.54869205709364488</c:v>
                </c:pt>
                <c:pt idx="35">
                  <c:v>1.4525988412056936</c:v>
                </c:pt>
                <c:pt idx="36">
                  <c:v>1.2884223279716129</c:v>
                </c:pt>
                <c:pt idx="37">
                  <c:v>1.4709548134559276</c:v>
                </c:pt>
                <c:pt idx="38">
                  <c:v>1.1160763123439283</c:v>
                </c:pt>
                <c:pt idx="39">
                  <c:v>1.2568800020515221</c:v>
                </c:pt>
                <c:pt idx="40">
                  <c:v>1.2372996473746596</c:v>
                </c:pt>
                <c:pt idx="41">
                  <c:v>1.3778137095885132</c:v>
                </c:pt>
                <c:pt idx="42">
                  <c:v>0.71274972593407537</c:v>
                </c:pt>
                <c:pt idx="43">
                  <c:v>0.97973846104307549</c:v>
                </c:pt>
                <c:pt idx="44">
                  <c:v>1.0840168334332951</c:v>
                </c:pt>
                <c:pt idx="45">
                  <c:v>1.0054326741200836</c:v>
                </c:pt>
                <c:pt idx="46">
                  <c:v>1.5394652455544879</c:v>
                </c:pt>
                <c:pt idx="47">
                  <c:v>1.7108143501456103</c:v>
                </c:pt>
                <c:pt idx="48">
                  <c:v>1.0422419635127109</c:v>
                </c:pt>
                <c:pt idx="49">
                  <c:v>1.4573440608953232</c:v>
                </c:pt>
                <c:pt idx="50">
                  <c:v>1.6243287143674903</c:v>
                </c:pt>
                <c:pt idx="51">
                  <c:v>1.2264984868182669</c:v>
                </c:pt>
                <c:pt idx="52">
                  <c:v>0.90290270966361996</c:v>
                </c:pt>
                <c:pt idx="53">
                  <c:v>1.1277899051058518</c:v>
                </c:pt>
                <c:pt idx="54">
                  <c:v>1.0889341711349643</c:v>
                </c:pt>
                <c:pt idx="55">
                  <c:v>0.75007570088512876</c:v>
                </c:pt>
                <c:pt idx="56">
                  <c:v>1.6056685840396143</c:v>
                </c:pt>
                <c:pt idx="57">
                  <c:v>0.72790619861439065</c:v>
                </c:pt>
                <c:pt idx="58">
                  <c:v>0.83169013342003506</c:v>
                </c:pt>
                <c:pt idx="59">
                  <c:v>1.5053604038021335</c:v>
                </c:pt>
                <c:pt idx="60">
                  <c:v>1.5020438428635561</c:v>
                </c:pt>
                <c:pt idx="61">
                  <c:v>0.89750372548653012</c:v>
                </c:pt>
                <c:pt idx="62">
                  <c:v>0.67817227986402362</c:v>
                </c:pt>
                <c:pt idx="63">
                  <c:v>1.3835615933991883</c:v>
                </c:pt>
                <c:pt idx="64">
                  <c:v>1.1502485647571208</c:v>
                </c:pt>
                <c:pt idx="65">
                  <c:v>1.5168400589787534</c:v>
                </c:pt>
                <c:pt idx="66">
                  <c:v>1.1416987669441534</c:v>
                </c:pt>
                <c:pt idx="67">
                  <c:v>1.6069888549361926</c:v>
                </c:pt>
                <c:pt idx="68">
                  <c:v>1.1314075739708327</c:v>
                </c:pt>
                <c:pt idx="69">
                  <c:v>1.3403752349408202</c:v>
                </c:pt>
                <c:pt idx="70">
                  <c:v>1.5553810317615546</c:v>
                </c:pt>
                <c:pt idx="71">
                  <c:v>1.1485011333737731</c:v>
                </c:pt>
                <c:pt idx="72">
                  <c:v>0.86312409699728698</c:v>
                </c:pt>
                <c:pt idx="73">
                  <c:v>1.3711581077764525</c:v>
                </c:pt>
                <c:pt idx="74">
                  <c:v>0.82120870722988593</c:v>
                </c:pt>
                <c:pt idx="75">
                  <c:v>1.3082538411613063</c:v>
                </c:pt>
                <c:pt idx="76">
                  <c:v>1.3514378477384346</c:v>
                </c:pt>
                <c:pt idx="77">
                  <c:v>1.0114124915151665</c:v>
                </c:pt>
                <c:pt idx="78">
                  <c:v>1.0127289356091569</c:v>
                </c:pt>
                <c:pt idx="79">
                  <c:v>1.4170491698604926</c:v>
                </c:pt>
                <c:pt idx="80">
                  <c:v>1.34950728345018</c:v>
                </c:pt>
                <c:pt idx="81">
                  <c:v>1.3823646388863084</c:v>
                </c:pt>
                <c:pt idx="82">
                  <c:v>2.014673276278689</c:v>
                </c:pt>
                <c:pt idx="83">
                  <c:v>0.86516142312025357</c:v>
                </c:pt>
                <c:pt idx="84">
                  <c:v>1.3976817427089254</c:v>
                </c:pt>
                <c:pt idx="85">
                  <c:v>1.2500560223491741</c:v>
                </c:pt>
                <c:pt idx="86">
                  <c:v>1.2768675930547879</c:v>
                </c:pt>
                <c:pt idx="87">
                  <c:v>1.1845033510230032</c:v>
                </c:pt>
                <c:pt idx="88">
                  <c:v>0.96767409736960319</c:v>
                </c:pt>
                <c:pt idx="89">
                  <c:v>1.2460392665632507</c:v>
                </c:pt>
                <c:pt idx="90">
                  <c:v>0.88099133750312397</c:v>
                </c:pt>
                <c:pt idx="91">
                  <c:v>1.1925084700899846</c:v>
                </c:pt>
                <c:pt idx="92">
                  <c:v>1.0493620511611681</c:v>
                </c:pt>
                <c:pt idx="93">
                  <c:v>1.2864376459901921</c:v>
                </c:pt>
                <c:pt idx="94">
                  <c:v>1.7163075002994856</c:v>
                </c:pt>
                <c:pt idx="95">
                  <c:v>1.6531438239337359</c:v>
                </c:pt>
                <c:pt idx="96">
                  <c:v>1.1665465005399924</c:v>
                </c:pt>
                <c:pt idx="97">
                  <c:v>1.1441922114550005</c:v>
                </c:pt>
                <c:pt idx="98">
                  <c:v>1.7510284925963042</c:v>
                </c:pt>
                <c:pt idx="99">
                  <c:v>1.2145151444733853</c:v>
                </c:pt>
              </c:numCache>
            </c:numRef>
          </c:xVal>
          <c:yVal>
            <c:numRef>
              <c:f>'yNRCDF(),PDF()'!$E$2:$E$101</c:f>
              <c:numCache>
                <c:formatCode>0.000_ </c:formatCode>
                <c:ptCount val="100"/>
                <c:pt idx="0">
                  <c:v>0.94221973255213676</c:v>
                </c:pt>
                <c:pt idx="1">
                  <c:v>0.67572463043677233</c:v>
                </c:pt>
                <c:pt idx="2">
                  <c:v>0.18351231708600541</c:v>
                </c:pt>
                <c:pt idx="3">
                  <c:v>0.76308740931441332</c:v>
                </c:pt>
                <c:pt idx="4">
                  <c:v>0.2542699786322386</c:v>
                </c:pt>
                <c:pt idx="5">
                  <c:v>0.24656525928831552</c:v>
                </c:pt>
                <c:pt idx="6">
                  <c:v>0.38982002137484806</c:v>
                </c:pt>
                <c:pt idx="7">
                  <c:v>0.99582352872372548</c:v>
                </c:pt>
                <c:pt idx="8">
                  <c:v>0.35032683904893702</c:v>
                </c:pt>
                <c:pt idx="9">
                  <c:v>0.3984141887001923</c:v>
                </c:pt>
                <c:pt idx="10">
                  <c:v>8.5657734146528344E-2</c:v>
                </c:pt>
                <c:pt idx="11">
                  <c:v>0.93111336871262784</c:v>
                </c:pt>
                <c:pt idx="12">
                  <c:v>0.84563404924979768</c:v>
                </c:pt>
                <c:pt idx="13">
                  <c:v>0.9918047073831453</c:v>
                </c:pt>
                <c:pt idx="14">
                  <c:v>0.12089219164157777</c:v>
                </c:pt>
                <c:pt idx="15">
                  <c:v>0.26636132719881844</c:v>
                </c:pt>
                <c:pt idx="16">
                  <c:v>0.75527850546503972</c:v>
                </c:pt>
                <c:pt idx="17">
                  <c:v>0.68274209317394208</c:v>
                </c:pt>
                <c:pt idx="18">
                  <c:v>0.9872389734750171</c:v>
                </c:pt>
                <c:pt idx="19">
                  <c:v>0.8415474137214799</c:v>
                </c:pt>
                <c:pt idx="20">
                  <c:v>0.99264956510226332</c:v>
                </c:pt>
                <c:pt idx="21">
                  <c:v>0.99687843570881973</c:v>
                </c:pt>
                <c:pt idx="22">
                  <c:v>0.22273038089994221</c:v>
                </c:pt>
                <c:pt idx="23">
                  <c:v>0.47980230579165628</c:v>
                </c:pt>
                <c:pt idx="24">
                  <c:v>0.18149768105097483</c:v>
                </c:pt>
                <c:pt idx="25">
                  <c:v>0.89358890471613628</c:v>
                </c:pt>
                <c:pt idx="26">
                  <c:v>0.97595657759167365</c:v>
                </c:pt>
                <c:pt idx="27">
                  <c:v>0.98260544498357638</c:v>
                </c:pt>
                <c:pt idx="28">
                  <c:v>0.9515408393730439</c:v>
                </c:pt>
                <c:pt idx="29">
                  <c:v>0.64526193007476595</c:v>
                </c:pt>
                <c:pt idx="30">
                  <c:v>0.82844969951402525</c:v>
                </c:pt>
                <c:pt idx="31">
                  <c:v>0.23622564956395292</c:v>
                </c:pt>
                <c:pt idx="32">
                  <c:v>0.58087127290567298</c:v>
                </c:pt>
                <c:pt idx="33">
                  <c:v>0.92399767747124018</c:v>
                </c:pt>
                <c:pt idx="34">
                  <c:v>3.3870920709667012E-3</c:v>
                </c:pt>
                <c:pt idx="35">
                  <c:v>0.82220614079540233</c:v>
                </c:pt>
                <c:pt idx="36">
                  <c:v>0.66216791333533276</c:v>
                </c:pt>
                <c:pt idx="37">
                  <c:v>0.83539864127170815</c:v>
                </c:pt>
                <c:pt idx="38">
                  <c:v>0.42245760939509946</c:v>
                </c:pt>
                <c:pt idx="39">
                  <c:v>0.6226741675098374</c:v>
                </c:pt>
                <c:pt idx="40">
                  <c:v>0.5968991872666991</c:v>
                </c:pt>
                <c:pt idx="41">
                  <c:v>0.75894306568801628</c:v>
                </c:pt>
                <c:pt idx="42">
                  <c:v>2.6417179526558913E-2</c:v>
                </c:pt>
                <c:pt idx="43">
                  <c:v>0.22910803679255279</c:v>
                </c:pt>
                <c:pt idx="44">
                  <c:v>0.37472156965415004</c:v>
                </c:pt>
                <c:pt idx="45">
                  <c:v>0.26272335503855199</c:v>
                </c:pt>
                <c:pt idx="46">
                  <c:v>0.87733401646919507</c:v>
                </c:pt>
                <c:pt idx="47">
                  <c:v>0.94263359095582777</c:v>
                </c:pt>
                <c:pt idx="48">
                  <c:v>0.31383112868203805</c:v>
                </c:pt>
                <c:pt idx="49">
                  <c:v>0.82570084301362834</c:v>
                </c:pt>
                <c:pt idx="50">
                  <c:v>0.9155976312636579</c:v>
                </c:pt>
                <c:pt idx="51">
                  <c:v>0.58230306036537549</c:v>
                </c:pt>
                <c:pt idx="52">
                  <c:v>0.14206904416335575</c:v>
                </c:pt>
                <c:pt idx="53">
                  <c:v>0.4399367842854659</c:v>
                </c:pt>
                <c:pt idx="54">
                  <c:v>0.38201248722207515</c:v>
                </c:pt>
                <c:pt idx="55">
                  <c:v>3.9012244701573669E-2</c:v>
                </c:pt>
                <c:pt idx="56">
                  <c:v>0.90830868952783195</c:v>
                </c:pt>
                <c:pt idx="57">
                  <c:v>3.1059206872731594E-2</c:v>
                </c:pt>
                <c:pt idx="58">
                  <c:v>8.2565637414086041E-2</c:v>
                </c:pt>
                <c:pt idx="59">
                  <c:v>0.85783734414940183</c:v>
                </c:pt>
                <c:pt idx="60">
                  <c:v>0.85579943606221243</c:v>
                </c:pt>
                <c:pt idx="61">
                  <c:v>0.13681781427823866</c:v>
                </c:pt>
                <c:pt idx="62">
                  <c:v>1.7930364215946022E-2</c:v>
                </c:pt>
                <c:pt idx="63">
                  <c:v>0.7643695968066333</c:v>
                </c:pt>
                <c:pt idx="64">
                  <c:v>0.47330651483789743</c:v>
                </c:pt>
                <c:pt idx="65">
                  <c:v>0.86469294986971368</c:v>
                </c:pt>
                <c:pt idx="66">
                  <c:v>0.4606367247332977</c:v>
                </c:pt>
                <c:pt idx="67">
                  <c:v>0.90884366336031897</c:v>
                </c:pt>
                <c:pt idx="68">
                  <c:v>0.44532874300289221</c:v>
                </c:pt>
                <c:pt idx="69">
                  <c:v>0.72123380347705235</c:v>
                </c:pt>
                <c:pt idx="70">
                  <c:v>0.88556655289067709</c:v>
                </c:pt>
                <c:pt idx="71">
                  <c:v>0.47072130816079072</c:v>
                </c:pt>
                <c:pt idx="72">
                  <c:v>0.10622588302043874</c:v>
                </c:pt>
                <c:pt idx="73">
                  <c:v>0.75253924885512113</c:v>
                </c:pt>
                <c:pt idx="74">
                  <c:v>7.5572982274269701E-2</c:v>
                </c:pt>
                <c:pt idx="75">
                  <c:v>0.68562170348516405</c:v>
                </c:pt>
                <c:pt idx="76">
                  <c:v>0.73280388801433338</c:v>
                </c:pt>
                <c:pt idx="77">
                  <c:v>0.27081081342140673</c:v>
                </c:pt>
                <c:pt idx="78">
                  <c:v>0.27260353092770728</c:v>
                </c:pt>
                <c:pt idx="79">
                  <c:v>0.79409155410247811</c:v>
                </c:pt>
                <c:pt idx="80">
                  <c:v>0.73081058387406939</c:v>
                </c:pt>
                <c:pt idx="81">
                  <c:v>0.7632474842765925</c:v>
                </c:pt>
                <c:pt idx="82">
                  <c:v>0.98484984540234899</c:v>
                </c:pt>
                <c:pt idx="83">
                  <c:v>0.10790090262127118</c:v>
                </c:pt>
                <c:pt idx="84">
                  <c:v>0.77729374791247585</c:v>
                </c:pt>
                <c:pt idx="85">
                  <c:v>0.61379540318708092</c:v>
                </c:pt>
                <c:pt idx="86">
                  <c:v>0.64800423048453393</c:v>
                </c:pt>
                <c:pt idx="87">
                  <c:v>0.52335627353364089</c:v>
                </c:pt>
                <c:pt idx="88">
                  <c:v>0.21402555659668457</c:v>
                </c:pt>
                <c:pt idx="89">
                  <c:v>0.60851638550551368</c:v>
                </c:pt>
                <c:pt idx="90">
                  <c:v>0.12150793097122053</c:v>
                </c:pt>
                <c:pt idx="91">
                  <c:v>0.53483147473948611</c:v>
                </c:pt>
                <c:pt idx="92">
                  <c:v>0.32403603079577725</c:v>
                </c:pt>
                <c:pt idx="93">
                  <c:v>0.65976079565908774</c:v>
                </c:pt>
                <c:pt idx="94">
                  <c:v>0.94402608982942859</c:v>
                </c:pt>
                <c:pt idx="95">
                  <c:v>0.92576478836524645</c:v>
                </c:pt>
                <c:pt idx="96">
                  <c:v>0.49728638909684419</c:v>
                </c:pt>
                <c:pt idx="97">
                  <c:v>0.4643369164255578</c:v>
                </c:pt>
                <c:pt idx="98">
                  <c:v>0.95207437816125362</c:v>
                </c:pt>
                <c:pt idx="99">
                  <c:v>0.56581901437782356</c:v>
                </c:pt>
              </c:numCache>
            </c:numRef>
          </c:yVal>
        </c:ser>
        <c:ser>
          <c:idx val="1"/>
          <c:order val="1"/>
          <c:tx>
            <c:v>NRPDF</c:v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'yNRCDF(),PDF()'!$C$2:$C$101</c:f>
              <c:numCache>
                <c:formatCode>0.00_ </c:formatCode>
                <c:ptCount val="100"/>
                <c:pt idx="0">
                  <c:v>1.7092074747171726</c:v>
                </c:pt>
                <c:pt idx="1">
                  <c:v>1.2997716522204836</c:v>
                </c:pt>
                <c:pt idx="2">
                  <c:v>0.94192370858572294</c:v>
                </c:pt>
                <c:pt idx="3">
                  <c:v>1.3821942484729044</c:v>
                </c:pt>
                <c:pt idx="4">
                  <c:v>0.99910586301964976</c:v>
                </c:pt>
                <c:pt idx="5">
                  <c:v>0.99326535851067854</c:v>
                </c:pt>
                <c:pt idx="6">
                  <c:v>1.0941883430871857</c:v>
                </c:pt>
                <c:pt idx="7">
                  <c:v>2.3398994070714791</c:v>
                </c:pt>
                <c:pt idx="8">
                  <c:v>1.0674600799926341</c:v>
                </c:pt>
                <c:pt idx="9">
                  <c:v>1.0999609321111092</c:v>
                </c:pt>
                <c:pt idx="10">
                  <c:v>0.83612516020107175</c:v>
                </c:pt>
                <c:pt idx="11">
                  <c:v>1.6698905815598044</c:v>
                </c:pt>
                <c:pt idx="12">
                  <c:v>1.4860992383888372</c:v>
                </c:pt>
                <c:pt idx="13">
                  <c:v>2.1642636994568885</c:v>
                </c:pt>
                <c:pt idx="14">
                  <c:v>0.88030048998473864</c:v>
                </c:pt>
                <c:pt idx="15">
                  <c:v>1.0081310489945814</c:v>
                </c:pt>
                <c:pt idx="16">
                  <c:v>1.373988639544877</c:v>
                </c:pt>
                <c:pt idx="17">
                  <c:v>1.3057678792057021</c:v>
                </c:pt>
                <c:pt idx="18">
                  <c:v>2.0556216878268168</c:v>
                </c:pt>
                <c:pt idx="19">
                  <c:v>1.4799500017543874</c:v>
                </c:pt>
                <c:pt idx="20">
                  <c:v>2.191701684896596</c:v>
                </c:pt>
                <c:pt idx="21">
                  <c:v>2.4204582660026923</c:v>
                </c:pt>
                <c:pt idx="22">
                  <c:v>0.97468335472819712</c:v>
                </c:pt>
                <c:pt idx="23">
                  <c:v>1.1546467246454302</c:v>
                </c:pt>
                <c:pt idx="24">
                  <c:v>0.94014832844512641</c:v>
                </c:pt>
                <c:pt idx="25">
                  <c:v>1.5719491535261778</c:v>
                </c:pt>
                <c:pt idx="26">
                  <c:v>1.9070378359694058</c:v>
                </c:pt>
                <c:pt idx="27">
                  <c:v>1.9821139929772544</c:v>
                </c:pt>
                <c:pt idx="28">
                  <c:v>1.7485503800355735</c:v>
                </c:pt>
                <c:pt idx="29">
                  <c:v>1.2746635426534241</c:v>
                </c:pt>
                <c:pt idx="30">
                  <c:v>1.4611342602821624</c:v>
                </c:pt>
                <c:pt idx="31">
                  <c:v>0.98530592385196092</c:v>
                </c:pt>
                <c:pt idx="32">
                  <c:v>1.2254489738883418</c:v>
                </c:pt>
                <c:pt idx="33">
                  <c:v>1.6478699487133053</c:v>
                </c:pt>
                <c:pt idx="34">
                  <c:v>0.54869205709364488</c:v>
                </c:pt>
                <c:pt idx="35">
                  <c:v>1.4525988412056936</c:v>
                </c:pt>
                <c:pt idx="36">
                  <c:v>1.2884223279716129</c:v>
                </c:pt>
                <c:pt idx="37">
                  <c:v>1.4709548134559276</c:v>
                </c:pt>
                <c:pt idx="38">
                  <c:v>1.1160763123439283</c:v>
                </c:pt>
                <c:pt idx="39">
                  <c:v>1.2568800020515221</c:v>
                </c:pt>
                <c:pt idx="40">
                  <c:v>1.2372996473746596</c:v>
                </c:pt>
                <c:pt idx="41">
                  <c:v>1.3778137095885132</c:v>
                </c:pt>
                <c:pt idx="42">
                  <c:v>0.71274972593407537</c:v>
                </c:pt>
                <c:pt idx="43">
                  <c:v>0.97973846104307549</c:v>
                </c:pt>
                <c:pt idx="44">
                  <c:v>1.0840168334332951</c:v>
                </c:pt>
                <c:pt idx="45">
                  <c:v>1.0054326741200836</c:v>
                </c:pt>
                <c:pt idx="46">
                  <c:v>1.5394652455544879</c:v>
                </c:pt>
                <c:pt idx="47">
                  <c:v>1.7108143501456103</c:v>
                </c:pt>
                <c:pt idx="48">
                  <c:v>1.0422419635127109</c:v>
                </c:pt>
                <c:pt idx="49">
                  <c:v>1.4573440608953232</c:v>
                </c:pt>
                <c:pt idx="50">
                  <c:v>1.6243287143674903</c:v>
                </c:pt>
                <c:pt idx="51">
                  <c:v>1.2264984868182669</c:v>
                </c:pt>
                <c:pt idx="52">
                  <c:v>0.90290270966361996</c:v>
                </c:pt>
                <c:pt idx="53">
                  <c:v>1.1277899051058518</c:v>
                </c:pt>
                <c:pt idx="54">
                  <c:v>1.0889341711349643</c:v>
                </c:pt>
                <c:pt idx="55">
                  <c:v>0.75007570088512876</c:v>
                </c:pt>
                <c:pt idx="56">
                  <c:v>1.6056685840396143</c:v>
                </c:pt>
                <c:pt idx="57">
                  <c:v>0.72790619861439065</c:v>
                </c:pt>
                <c:pt idx="58">
                  <c:v>0.83169013342003506</c:v>
                </c:pt>
                <c:pt idx="59">
                  <c:v>1.5053604038021335</c:v>
                </c:pt>
                <c:pt idx="60">
                  <c:v>1.5020438428635561</c:v>
                </c:pt>
                <c:pt idx="61">
                  <c:v>0.89750372548653012</c:v>
                </c:pt>
                <c:pt idx="62">
                  <c:v>0.67817227986402362</c:v>
                </c:pt>
                <c:pt idx="63">
                  <c:v>1.3835615933991883</c:v>
                </c:pt>
                <c:pt idx="64">
                  <c:v>1.1502485647571208</c:v>
                </c:pt>
                <c:pt idx="65">
                  <c:v>1.5168400589787534</c:v>
                </c:pt>
                <c:pt idx="66">
                  <c:v>1.1416987669441534</c:v>
                </c:pt>
                <c:pt idx="67">
                  <c:v>1.6069888549361926</c:v>
                </c:pt>
                <c:pt idx="68">
                  <c:v>1.1314075739708327</c:v>
                </c:pt>
                <c:pt idx="69">
                  <c:v>1.3403752349408202</c:v>
                </c:pt>
                <c:pt idx="70">
                  <c:v>1.5553810317615546</c:v>
                </c:pt>
                <c:pt idx="71">
                  <c:v>1.1485011333737731</c:v>
                </c:pt>
                <c:pt idx="72">
                  <c:v>0.86312409699728698</c:v>
                </c:pt>
                <c:pt idx="73">
                  <c:v>1.3711581077764525</c:v>
                </c:pt>
                <c:pt idx="74">
                  <c:v>0.82120870722988593</c:v>
                </c:pt>
                <c:pt idx="75">
                  <c:v>1.3082538411613063</c:v>
                </c:pt>
                <c:pt idx="76">
                  <c:v>1.3514378477384346</c:v>
                </c:pt>
                <c:pt idx="77">
                  <c:v>1.0114124915151665</c:v>
                </c:pt>
                <c:pt idx="78">
                  <c:v>1.0127289356091569</c:v>
                </c:pt>
                <c:pt idx="79">
                  <c:v>1.4170491698604926</c:v>
                </c:pt>
                <c:pt idx="80">
                  <c:v>1.34950728345018</c:v>
                </c:pt>
                <c:pt idx="81">
                  <c:v>1.3823646388863084</c:v>
                </c:pt>
                <c:pt idx="82">
                  <c:v>2.014673276278689</c:v>
                </c:pt>
                <c:pt idx="83">
                  <c:v>0.86516142312025357</c:v>
                </c:pt>
                <c:pt idx="84">
                  <c:v>1.3976817427089254</c:v>
                </c:pt>
                <c:pt idx="85">
                  <c:v>1.2500560223491741</c:v>
                </c:pt>
                <c:pt idx="86">
                  <c:v>1.2768675930547879</c:v>
                </c:pt>
                <c:pt idx="87">
                  <c:v>1.1845033510230032</c:v>
                </c:pt>
                <c:pt idx="88">
                  <c:v>0.96767409736960319</c:v>
                </c:pt>
                <c:pt idx="89">
                  <c:v>1.2460392665632507</c:v>
                </c:pt>
                <c:pt idx="90">
                  <c:v>0.88099133750312397</c:v>
                </c:pt>
                <c:pt idx="91">
                  <c:v>1.1925084700899846</c:v>
                </c:pt>
                <c:pt idx="92">
                  <c:v>1.0493620511611681</c:v>
                </c:pt>
                <c:pt idx="93">
                  <c:v>1.2864376459901921</c:v>
                </c:pt>
                <c:pt idx="94">
                  <c:v>1.7163075002994856</c:v>
                </c:pt>
                <c:pt idx="95">
                  <c:v>1.6531438239337359</c:v>
                </c:pt>
                <c:pt idx="96">
                  <c:v>1.1665465005399924</c:v>
                </c:pt>
                <c:pt idx="97">
                  <c:v>1.1441922114550005</c:v>
                </c:pt>
                <c:pt idx="98">
                  <c:v>1.7510284925963042</c:v>
                </c:pt>
                <c:pt idx="99">
                  <c:v>1.2145151444733853</c:v>
                </c:pt>
              </c:numCache>
            </c:numRef>
          </c:xVal>
          <c:yVal>
            <c:numRef>
              <c:f>'yNRCDF(),PDF()'!$D$2:$D$101</c:f>
              <c:numCache>
                <c:formatCode>0.000_ </c:formatCode>
                <c:ptCount val="100"/>
                <c:pt idx="0">
                  <c:v>2.2899578761365041E-2</c:v>
                </c:pt>
                <c:pt idx="1">
                  <c:v>7.6364354200100834E-2</c:v>
                </c:pt>
                <c:pt idx="2">
                  <c:v>5.5994746072319752E-2</c:v>
                </c:pt>
                <c:pt idx="3">
                  <c:v>6.4907944085075747E-2</c:v>
                </c:pt>
                <c:pt idx="4">
                  <c:v>6.8176349486146079E-2</c:v>
                </c:pt>
                <c:pt idx="5">
                  <c:v>6.7025738760782633E-2</c:v>
                </c:pt>
                <c:pt idx="6">
                  <c:v>8.2148056498865113E-2</c:v>
                </c:pt>
                <c:pt idx="7">
                  <c:v>2.1089098759525145E-3</c:v>
                </c:pt>
                <c:pt idx="8">
                  <c:v>7.9250489519992584E-2</c:v>
                </c:pt>
                <c:pt idx="9">
                  <c:v>8.2656502562449927E-2</c:v>
                </c:pt>
                <c:pt idx="10">
                  <c:v>3.2155341659416081E-2</c:v>
                </c:pt>
                <c:pt idx="11">
                  <c:v>2.6480828608698135E-2</c:v>
                </c:pt>
                <c:pt idx="12">
                  <c:v>4.9169140929725706E-2</c:v>
                </c:pt>
                <c:pt idx="13">
                  <c:v>3.9929739211498477E-3</c:v>
                </c:pt>
                <c:pt idx="14">
                  <c:v>4.1833392975913514E-2</c:v>
                </c:pt>
                <c:pt idx="15">
                  <c:v>6.9900130183862264E-2</c:v>
                </c:pt>
                <c:pt idx="16">
                  <c:v>6.6137094172967939E-2</c:v>
                </c:pt>
                <c:pt idx="17">
                  <c:v>7.5623960428778697E-2</c:v>
                </c:pt>
                <c:pt idx="18">
                  <c:v>6.0262296108184931E-3</c:v>
                </c:pt>
                <c:pt idx="19">
                  <c:v>5.0075286153485464E-2</c:v>
                </c:pt>
                <c:pt idx="20">
                  <c:v>3.6053041407251717E-3</c:v>
                </c:pt>
                <c:pt idx="21">
                  <c:v>1.5947203856204668E-3</c:v>
                </c:pt>
                <c:pt idx="22">
                  <c:v>6.3201883727520017E-2</c:v>
                </c:pt>
                <c:pt idx="23">
                  <c:v>8.5360085668017588E-2</c:v>
                </c:pt>
                <c:pt idx="24">
                  <c:v>5.5592099552825902E-2</c:v>
                </c:pt>
                <c:pt idx="25">
                  <c:v>3.7394390439084726E-2</c:v>
                </c:pt>
                <c:pt idx="26">
                  <c:v>1.071198692467131E-2</c:v>
                </c:pt>
                <c:pt idx="27">
                  <c:v>8.0014818323810369E-3</c:v>
                </c:pt>
                <c:pt idx="28">
                  <c:v>1.9747060340407487E-2</c:v>
                </c:pt>
                <c:pt idx="29">
                  <c:v>7.9230732270224383E-2</c:v>
                </c:pt>
                <c:pt idx="30">
                  <c:v>5.2884698272289213E-2</c:v>
                </c:pt>
                <c:pt idx="31">
                  <c:v>6.5416600737603969E-2</c:v>
                </c:pt>
                <c:pt idx="32">
                  <c:v>8.348091240340777E-2</c:v>
                </c:pt>
                <c:pt idx="33">
                  <c:v>2.8684079390488674E-2</c:v>
                </c:pt>
                <c:pt idx="34">
                  <c:v>1.7951762486485029E-3</c:v>
                </c:pt>
                <c:pt idx="35">
                  <c:v>5.4174320681140767E-2</c:v>
                </c:pt>
                <c:pt idx="36">
                  <c:v>7.7709295124756481E-2</c:v>
                </c:pt>
                <c:pt idx="37">
                  <c:v>5.1411968665425106E-2</c:v>
                </c:pt>
                <c:pt idx="38">
                  <c:v>8.3850723558433371E-2</c:v>
                </c:pt>
                <c:pt idx="39">
                  <c:v>8.0997717110301529E-2</c:v>
                </c:pt>
                <c:pt idx="40">
                  <c:v>8.2648440641750157E-2</c:v>
                </c:pt>
                <c:pt idx="41">
                  <c:v>6.556552215631245E-2</c:v>
                </c:pt>
                <c:pt idx="42">
                  <c:v>1.1965395009780649E-2</c:v>
                </c:pt>
                <c:pt idx="43">
                  <c:v>6.4264872185167493E-2</c:v>
                </c:pt>
                <c:pt idx="44">
                  <c:v>8.1149744723358147E-2</c:v>
                </c:pt>
                <c:pt idx="45">
                  <c:v>6.9391916062359227E-2</c:v>
                </c:pt>
                <c:pt idx="46">
                  <c:v>4.1633251315060918E-2</c:v>
                </c:pt>
                <c:pt idx="47">
                  <c:v>2.2762570280875544E-2</c:v>
                </c:pt>
                <c:pt idx="48">
                  <c:v>7.5734053820044375E-2</c:v>
                </c:pt>
                <c:pt idx="49">
                  <c:v>5.3456362763768861E-2</c:v>
                </c:pt>
                <c:pt idx="50">
                  <c:v>3.1200139478832278E-2</c:v>
                </c:pt>
                <c:pt idx="51">
                  <c:v>8.3412558131799125E-2</c:v>
                </c:pt>
                <c:pt idx="52">
                  <c:v>4.7021487133413052E-2</c:v>
                </c:pt>
                <c:pt idx="53">
                  <c:v>8.4509623733309766E-2</c:v>
                </c:pt>
                <c:pt idx="54">
                  <c:v>8.1648601323725367E-2</c:v>
                </c:pt>
                <c:pt idx="55">
                  <c:v>1.6798484411343059E-2</c:v>
                </c:pt>
                <c:pt idx="56">
                  <c:v>3.3313135183033193E-2</c:v>
                </c:pt>
                <c:pt idx="57">
                  <c:v>1.3790952350246247E-2</c:v>
                </c:pt>
                <c:pt idx="58">
                  <c:v>3.1236216804985107E-2</c:v>
                </c:pt>
                <c:pt idx="59">
                  <c:v>4.6376649993508948E-2</c:v>
                </c:pt>
                <c:pt idx="60">
                  <c:v>4.6852169772876602E-2</c:v>
                </c:pt>
                <c:pt idx="61">
                  <c:v>4.5775379761086685E-2</c:v>
                </c:pt>
                <c:pt idx="62">
                  <c:v>8.4696920516420093E-3</c:v>
                </c:pt>
                <c:pt idx="63">
                  <c:v>6.4702085117659819E-2</c:v>
                </c:pt>
                <c:pt idx="64">
                  <c:v>8.5283066519383624E-2</c:v>
                </c:pt>
                <c:pt idx="65">
                  <c:v>4.4749286139252116E-2</c:v>
                </c:pt>
                <c:pt idx="66">
                  <c:v>8.506399456162296E-2</c:v>
                </c:pt>
                <c:pt idx="67">
                  <c:v>3.3160192605892327E-2</c:v>
                </c:pt>
                <c:pt idx="68">
                  <c:v>8.4677562286298885E-2</c:v>
                </c:pt>
                <c:pt idx="69">
                  <c:v>7.1014551598024986E-2</c:v>
                </c:pt>
                <c:pt idx="70">
                  <c:v>3.9520144801672909E-2</c:v>
                </c:pt>
                <c:pt idx="71">
                  <c:v>8.5245762158963623E-2</c:v>
                </c:pt>
                <c:pt idx="72">
                  <c:v>3.7973936787646295E-2</c:v>
                </c:pt>
                <c:pt idx="73">
                  <c:v>6.6558326914503169E-2</c:v>
                </c:pt>
                <c:pt idx="74">
                  <c:v>2.9111633423323981E-2</c:v>
                </c:pt>
                <c:pt idx="75">
                  <c:v>7.531134370682567E-2</c:v>
                </c:pt>
                <c:pt idx="76">
                  <c:v>6.9443310702571093E-2</c:v>
                </c:pt>
                <c:pt idx="77">
                  <c:v>7.0509622440262959E-2</c:v>
                </c:pt>
                <c:pt idx="78">
                  <c:v>7.0751450558617313E-2</c:v>
                </c:pt>
                <c:pt idx="79">
                  <c:v>5.9602530606642556E-2</c:v>
                </c:pt>
                <c:pt idx="80">
                  <c:v>6.9720263901084004E-2</c:v>
                </c:pt>
                <c:pt idx="81">
                  <c:v>6.4882306116117408E-2</c:v>
                </c:pt>
                <c:pt idx="82">
                  <c:v>7.0545791709251725E-3</c:v>
                </c:pt>
                <c:pt idx="83">
                  <c:v>3.842638955795178E-2</c:v>
                </c:pt>
                <c:pt idx="84">
                  <c:v>6.2562559902484674E-2</c:v>
                </c:pt>
                <c:pt idx="85">
                  <c:v>8.1610045761892083E-2</c:v>
                </c:pt>
                <c:pt idx="86">
                  <c:v>7.8995592780445614E-2</c:v>
                </c:pt>
                <c:pt idx="87">
                  <c:v>8.525993891127441E-2</c:v>
                </c:pt>
                <c:pt idx="88">
                  <c:v>6.1702973258520595E-2</c:v>
                </c:pt>
                <c:pt idx="89">
                  <c:v>8.1952294960339955E-2</c:v>
                </c:pt>
                <c:pt idx="90">
                  <c:v>4.1990498565768641E-2</c:v>
                </c:pt>
                <c:pt idx="91">
                  <c:v>8.5055011080083079E-2</c:v>
                </c:pt>
                <c:pt idx="92">
                  <c:v>7.6800184773348656E-2</c:v>
                </c:pt>
                <c:pt idx="93">
                  <c:v>7.7936426221457231E-2</c:v>
                </c:pt>
                <c:pt idx="94">
                  <c:v>2.2299617218611241E-2</c:v>
                </c:pt>
                <c:pt idx="95">
                  <c:v>2.8143248907316346E-2</c:v>
                </c:pt>
                <c:pt idx="96">
                  <c:v>8.5448734675292237E-2</c:v>
                </c:pt>
                <c:pt idx="97">
                  <c:v>8.5137394009465878E-2</c:v>
                </c:pt>
                <c:pt idx="98">
                  <c:v>1.9562220370763304E-2</c:v>
                </c:pt>
                <c:pt idx="99">
                  <c:v>8.412845150100294E-2</c:v>
                </c:pt>
              </c:numCache>
            </c:numRef>
          </c:yVal>
        </c:ser>
        <c:axId val="69193728"/>
        <c:axId val="69195648"/>
      </c:scatterChart>
      <c:valAx>
        <c:axId val="69193728"/>
        <c:scaling>
          <c:orientation val="minMax"/>
          <c:max val="3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ko-KR"/>
                  <a:t>Ratio</a:t>
                </a:r>
                <a:endParaRPr lang="ko-KR" altLang="en-US"/>
              </a:p>
            </c:rich>
          </c:tx>
          <c:layout/>
        </c:title>
        <c:numFmt formatCode="General" sourceLinked="0"/>
        <c:tickLblPos val="nextTo"/>
        <c:crossAx val="69195648"/>
        <c:crosses val="autoZero"/>
        <c:crossBetween val="midCat"/>
      </c:valAx>
      <c:valAx>
        <c:axId val="69195648"/>
        <c:scaling>
          <c:orientation val="minMax"/>
          <c:max val="1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ko-KR"/>
                  <a:t>PDF, CDF</a:t>
                </a:r>
                <a:endParaRPr lang="ko-KR" altLang="en-US"/>
              </a:p>
            </c:rich>
          </c:tx>
          <c:layout>
            <c:manualLayout>
              <c:xMode val="edge"/>
              <c:yMode val="edge"/>
              <c:x val="5.4520202020202023E-4"/>
              <c:y val="0.29543888888888953"/>
            </c:manualLayout>
          </c:layout>
        </c:title>
        <c:numFmt formatCode="General" sourceLinked="0"/>
        <c:tickLblPos val="nextTo"/>
        <c:crossAx val="69193728"/>
        <c:crosses val="autoZero"/>
        <c:crossBetween val="midCat"/>
        <c:majorUnit val="0.25"/>
      </c:valAx>
    </c:plotArea>
    <c:legend>
      <c:legendPos val="r"/>
      <c:layout>
        <c:manualLayout>
          <c:xMode val="edge"/>
          <c:yMode val="edge"/>
          <c:x val="0.73892525252525276"/>
          <c:y val="0.53739629629629637"/>
          <c:w val="0.19662853535353533"/>
          <c:h val="0.17967345679012348"/>
        </c:manualLayout>
      </c:layout>
      <c:spPr>
        <a:ln>
          <a:solidFill>
            <a:schemeClr val="bg1">
              <a:lumMod val="65000"/>
            </a:schemeClr>
          </a:solidFill>
        </a:ln>
      </c:spPr>
    </c:legend>
    <c:plotVisOnly val="1"/>
  </c:chart>
  <c:spPr>
    <a:ln>
      <a:noFill/>
    </a:ln>
  </c:spPr>
  <c:txPr>
    <a:bodyPr/>
    <a:lstStyle/>
    <a:p>
      <a:pPr>
        <a:defRPr sz="1400"/>
      </a:pPr>
      <a:endParaRPr lang="ko-KR"/>
    </a:p>
  </c:txPr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409575</xdr:colOff>
      <xdr:row>0</xdr:row>
      <xdr:rowOff>333375</xdr:rowOff>
    </xdr:from>
    <xdr:to>
      <xdr:col>12</xdr:col>
      <xdr:colOff>254775</xdr:colOff>
      <xdr:row>7</xdr:row>
      <xdr:rowOff>106275</xdr:rowOff>
    </xdr:to>
    <xdr:graphicFrame macro="">
      <xdr:nvGraphicFramePr>
        <xdr:cNvPr id="2" name="차트 1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101"/>
  <sheetViews>
    <sheetView tabSelected="1" workbookViewId="0">
      <selection activeCell="J10" sqref="J10"/>
    </sheetView>
  </sheetViews>
  <sheetFormatPr defaultRowHeight="16.5"/>
  <cols>
    <col min="1" max="1" width="6.125" bestFit="1" customWidth="1"/>
    <col min="2" max="2" width="4.5" bestFit="1" customWidth="1"/>
    <col min="3" max="3" width="5.5" bestFit="1" customWidth="1"/>
    <col min="4" max="4" width="6.5" bestFit="1" customWidth="1"/>
    <col min="5" max="5" width="8.875" bestFit="1" customWidth="1"/>
    <col min="6" max="6" width="6.5" bestFit="1" customWidth="1"/>
  </cols>
  <sheetData>
    <row r="1" spans="1:6" ht="174">
      <c r="A1" s="1" t="s">
        <v>0</v>
      </c>
      <c r="B1" s="1" t="s">
        <v>1</v>
      </c>
      <c r="C1" s="1" t="s">
        <v>2</v>
      </c>
      <c r="D1" s="1" t="s">
        <v>6</v>
      </c>
      <c r="E1" s="1" t="s">
        <v>5</v>
      </c>
      <c r="F1" s="1" t="s">
        <v>4</v>
      </c>
    </row>
    <row r="2" spans="1:6">
      <c r="A2" s="3">
        <f ca="1">NORMSINV(RAND())*138+673</f>
        <v>863.62901824446351</v>
      </c>
      <c r="B2">
        <f ca="1">NORMSINV(RAND())*113+576</f>
        <v>505.28038931456854</v>
      </c>
      <c r="C2" s="2">
        <f ca="1">A2/B2</f>
        <v>1.7092074747171726</v>
      </c>
      <c r="D2" s="4">
        <f ca="1">yNRPDF(673,138,576,113,0.322,C2)</f>
        <v>2.2899578761365041E-2</v>
      </c>
      <c r="E2" s="4">
        <f ca="1">yNRCDF(673,138,576,113,0.322,C2)</f>
        <v>0.94221973255213676</v>
      </c>
      <c r="F2">
        <v>0.32200000000000001</v>
      </c>
    </row>
    <row r="3" spans="1:6">
      <c r="A3" s="3">
        <f t="shared" ref="A3:A66" ca="1" si="0">NORMSINV(RAND())*138+673</f>
        <v>683.80859196420636</v>
      </c>
      <c r="B3">
        <f t="shared" ref="B3:B66" ca="1" si="1">NORMSINV(RAND())*113+576</f>
        <v>526.09901962087883</v>
      </c>
      <c r="C3" s="2">
        <f t="shared" ref="C3:C66" ca="1" si="2">A3/B3</f>
        <v>1.2997716522204836</v>
      </c>
      <c r="D3" s="4">
        <f t="shared" ref="D3:D66" ca="1" si="3">yNRPDF(673,138,576,113,0.322,C3)</f>
        <v>7.6364354200100834E-2</v>
      </c>
      <c r="E3" s="4">
        <f t="shared" ref="E3:E66" ca="1" si="4">yNRCDF(673,138,576,113,0.322,C3)</f>
        <v>0.67572463043677233</v>
      </c>
      <c r="F3" t="s">
        <v>3</v>
      </c>
    </row>
    <row r="4" spans="1:6">
      <c r="A4" s="3">
        <f t="shared" ca="1" si="0"/>
        <v>505.41632452496151</v>
      </c>
      <c r="B4">
        <f t="shared" ca="1" si="1"/>
        <v>536.5788332091488</v>
      </c>
      <c r="C4" s="2">
        <f t="shared" ca="1" si="2"/>
        <v>0.94192370858572294</v>
      </c>
      <c r="D4" s="4">
        <f t="shared" ca="1" si="3"/>
        <v>5.5994746072319752E-2</v>
      </c>
      <c r="E4" s="4">
        <f t="shared" ca="1" si="4"/>
        <v>0.18351231708600541</v>
      </c>
    </row>
    <row r="5" spans="1:6">
      <c r="A5" s="3">
        <f t="shared" ca="1" si="0"/>
        <v>662.77292368818462</v>
      </c>
      <c r="B5">
        <f t="shared" ca="1" si="1"/>
        <v>479.50780031130853</v>
      </c>
      <c r="C5" s="2">
        <f t="shared" ca="1" si="2"/>
        <v>1.3821942484729044</v>
      </c>
      <c r="D5" s="4">
        <f t="shared" ca="1" si="3"/>
        <v>6.4907944085075747E-2</v>
      </c>
      <c r="E5" s="4">
        <f t="shared" ca="1" si="4"/>
        <v>0.76308740931441332</v>
      </c>
    </row>
    <row r="6" spans="1:6">
      <c r="A6" s="3">
        <f t="shared" ca="1" si="0"/>
        <v>542.82851735538566</v>
      </c>
      <c r="B6">
        <f t="shared" ca="1" si="1"/>
        <v>543.31431477618071</v>
      </c>
      <c r="C6" s="2">
        <f t="shared" ca="1" si="2"/>
        <v>0.99910586301964976</v>
      </c>
      <c r="D6" s="4">
        <f t="shared" ca="1" si="3"/>
        <v>6.8176349486146079E-2</v>
      </c>
      <c r="E6" s="4">
        <f t="shared" ca="1" si="4"/>
        <v>0.2542699786322386</v>
      </c>
    </row>
    <row r="7" spans="1:6">
      <c r="A7" s="3">
        <f t="shared" ca="1" si="0"/>
        <v>520.27359974932415</v>
      </c>
      <c r="B7">
        <f t="shared" ca="1" si="1"/>
        <v>523.80121313143604</v>
      </c>
      <c r="C7" s="2">
        <f t="shared" ca="1" si="2"/>
        <v>0.99326535851067854</v>
      </c>
      <c r="D7" s="4">
        <f t="shared" ca="1" si="3"/>
        <v>6.7025738760782633E-2</v>
      </c>
      <c r="E7" s="4">
        <f t="shared" ca="1" si="4"/>
        <v>0.24656525928831552</v>
      </c>
    </row>
    <row r="8" spans="1:6">
      <c r="A8" s="3">
        <f t="shared" ca="1" si="0"/>
        <v>475.96683622454009</v>
      </c>
      <c r="B8">
        <f t="shared" ca="1" si="1"/>
        <v>434.99534539147862</v>
      </c>
      <c r="C8" s="2">
        <f t="shared" ca="1" si="2"/>
        <v>1.0941883430871857</v>
      </c>
      <c r="D8" s="4">
        <f t="shared" ca="1" si="3"/>
        <v>8.2148056498865113E-2</v>
      </c>
      <c r="E8" s="4">
        <f t="shared" ca="1" si="4"/>
        <v>0.38982002137484806</v>
      </c>
    </row>
    <row r="9" spans="1:6">
      <c r="A9" s="3">
        <f t="shared" ca="1" si="0"/>
        <v>839.51041090246008</v>
      </c>
      <c r="B9">
        <f t="shared" ca="1" si="1"/>
        <v>358.78055627748392</v>
      </c>
      <c r="C9" s="2">
        <f t="shared" ca="1" si="2"/>
        <v>2.3398994070714791</v>
      </c>
      <c r="D9" s="4">
        <f t="shared" ca="1" si="3"/>
        <v>2.1089098759525145E-3</v>
      </c>
      <c r="E9" s="4">
        <f t="shared" ca="1" si="4"/>
        <v>0.99582352872372548</v>
      </c>
    </row>
    <row r="10" spans="1:6">
      <c r="A10" s="3">
        <f t="shared" ca="1" si="0"/>
        <v>601.21228136576792</v>
      </c>
      <c r="B10">
        <f t="shared" ca="1" si="1"/>
        <v>563.21757846899197</v>
      </c>
      <c r="C10" s="2">
        <f t="shared" ca="1" si="2"/>
        <v>1.0674600799926341</v>
      </c>
      <c r="D10" s="4">
        <f t="shared" ca="1" si="3"/>
        <v>7.9250489519992584E-2</v>
      </c>
      <c r="E10" s="4">
        <f t="shared" ca="1" si="4"/>
        <v>0.35032683904893702</v>
      </c>
    </row>
    <row r="11" spans="1:6">
      <c r="A11" s="3">
        <f t="shared" ca="1" si="0"/>
        <v>715.72805638465957</v>
      </c>
      <c r="B11">
        <f t="shared" ca="1" si="1"/>
        <v>650.6849793392139</v>
      </c>
      <c r="C11" s="2">
        <f t="shared" ca="1" si="2"/>
        <v>1.0999609321111092</v>
      </c>
      <c r="D11" s="4">
        <f t="shared" ca="1" si="3"/>
        <v>8.2656502562449927E-2</v>
      </c>
      <c r="E11" s="4">
        <f t="shared" ca="1" si="4"/>
        <v>0.3984141887001923</v>
      </c>
    </row>
    <row r="12" spans="1:6">
      <c r="A12" s="3">
        <f t="shared" ca="1" si="0"/>
        <v>434.77602009593113</v>
      </c>
      <c r="B12">
        <f t="shared" ca="1" si="1"/>
        <v>519.98916046417742</v>
      </c>
      <c r="C12" s="2">
        <f t="shared" ca="1" si="2"/>
        <v>0.83612516020107175</v>
      </c>
      <c r="D12" s="4">
        <f t="shared" ca="1" si="3"/>
        <v>3.2155341659416081E-2</v>
      </c>
      <c r="E12" s="4">
        <f t="shared" ca="1" si="4"/>
        <v>8.5657734146528344E-2</v>
      </c>
    </row>
    <row r="13" spans="1:6">
      <c r="A13" s="3">
        <f t="shared" ca="1" si="0"/>
        <v>714.50870491807268</v>
      </c>
      <c r="B13">
        <f t="shared" ca="1" si="1"/>
        <v>427.87755845096592</v>
      </c>
      <c r="C13" s="2">
        <f t="shared" ca="1" si="2"/>
        <v>1.6698905815598044</v>
      </c>
      <c r="D13" s="4">
        <f t="shared" ca="1" si="3"/>
        <v>2.6480828608698135E-2</v>
      </c>
      <c r="E13" s="4">
        <f t="shared" ca="1" si="4"/>
        <v>0.93111336871262784</v>
      </c>
    </row>
    <row r="14" spans="1:6">
      <c r="A14" s="3">
        <f t="shared" ca="1" si="0"/>
        <v>774.83288965908719</v>
      </c>
      <c r="B14">
        <f t="shared" ca="1" si="1"/>
        <v>521.38704444739949</v>
      </c>
      <c r="C14" s="2">
        <f t="shared" ca="1" si="2"/>
        <v>1.4860992383888372</v>
      </c>
      <c r="D14" s="4">
        <f t="shared" ca="1" si="3"/>
        <v>4.9169140929725706E-2</v>
      </c>
      <c r="E14" s="4">
        <f t="shared" ca="1" si="4"/>
        <v>0.84563404924979768</v>
      </c>
    </row>
    <row r="15" spans="1:6">
      <c r="A15" s="3">
        <f t="shared" ca="1" si="0"/>
        <v>898.55442361305313</v>
      </c>
      <c r="B15">
        <f t="shared" ca="1" si="1"/>
        <v>415.17788421001609</v>
      </c>
      <c r="C15" s="2">
        <f t="shared" ca="1" si="2"/>
        <v>2.1642636994568885</v>
      </c>
      <c r="D15" s="4">
        <f t="shared" ca="1" si="3"/>
        <v>3.9929739211498477E-3</v>
      </c>
      <c r="E15" s="4">
        <f t="shared" ca="1" si="4"/>
        <v>0.9918047073831453</v>
      </c>
    </row>
    <row r="16" spans="1:6">
      <c r="A16" s="3">
        <f t="shared" ca="1" si="0"/>
        <v>705.7244995433316</v>
      </c>
      <c r="B16">
        <f t="shared" ca="1" si="1"/>
        <v>801.68591017774668</v>
      </c>
      <c r="C16" s="2">
        <f t="shared" ca="1" si="2"/>
        <v>0.88030048998473864</v>
      </c>
      <c r="D16" s="4">
        <f t="shared" ca="1" si="3"/>
        <v>4.1833392975913514E-2</v>
      </c>
      <c r="E16" s="4">
        <f t="shared" ca="1" si="4"/>
        <v>0.12089219164157777</v>
      </c>
    </row>
    <row r="17" spans="1:5">
      <c r="A17" s="3">
        <f t="shared" ca="1" si="0"/>
        <v>529.09940955443824</v>
      </c>
      <c r="B17">
        <f t="shared" ca="1" si="1"/>
        <v>524.83197505137264</v>
      </c>
      <c r="C17" s="2">
        <f t="shared" ca="1" si="2"/>
        <v>1.0081310489945814</v>
      </c>
      <c r="D17" s="4">
        <f t="shared" ca="1" si="3"/>
        <v>6.9900130183862264E-2</v>
      </c>
      <c r="E17" s="4">
        <f t="shared" ca="1" si="4"/>
        <v>0.26636132719881844</v>
      </c>
    </row>
    <row r="18" spans="1:5">
      <c r="A18" s="3">
        <f t="shared" ca="1" si="0"/>
        <v>764.86980287413076</v>
      </c>
      <c r="B18">
        <f t="shared" ca="1" si="1"/>
        <v>556.67840392587811</v>
      </c>
      <c r="C18" s="2">
        <f t="shared" ca="1" si="2"/>
        <v>1.373988639544877</v>
      </c>
      <c r="D18" s="4">
        <f t="shared" ca="1" si="3"/>
        <v>6.6137094172967939E-2</v>
      </c>
      <c r="E18" s="4">
        <f t="shared" ca="1" si="4"/>
        <v>0.75527850546503972</v>
      </c>
    </row>
    <row r="19" spans="1:5">
      <c r="A19" s="3">
        <f t="shared" ca="1" si="0"/>
        <v>768.24699868576852</v>
      </c>
      <c r="B19">
        <f t="shared" ca="1" si="1"/>
        <v>588.34882594377552</v>
      </c>
      <c r="C19" s="2">
        <f t="shared" ca="1" si="2"/>
        <v>1.3057678792057021</v>
      </c>
      <c r="D19" s="4">
        <f t="shared" ca="1" si="3"/>
        <v>7.5623960428778697E-2</v>
      </c>
      <c r="E19" s="4">
        <f t="shared" ca="1" si="4"/>
        <v>0.68274209317394208</v>
      </c>
    </row>
    <row r="20" spans="1:5">
      <c r="A20" s="3">
        <f t="shared" ca="1" si="0"/>
        <v>846.56828037524951</v>
      </c>
      <c r="B20">
        <f t="shared" ca="1" si="1"/>
        <v>411.83077868293617</v>
      </c>
      <c r="C20" s="2">
        <f t="shared" ca="1" si="2"/>
        <v>2.0556216878268168</v>
      </c>
      <c r="D20" s="4">
        <f t="shared" ca="1" si="3"/>
        <v>6.0262296108184931E-3</v>
      </c>
      <c r="E20" s="4">
        <f t="shared" ca="1" si="4"/>
        <v>0.9872389734750171</v>
      </c>
    </row>
    <row r="21" spans="1:5">
      <c r="A21" s="3">
        <f t="shared" ca="1" si="0"/>
        <v>638.76014024488791</v>
      </c>
      <c r="B21">
        <f t="shared" ca="1" si="1"/>
        <v>431.6092702372905</v>
      </c>
      <c r="C21" s="2">
        <f t="shared" ca="1" si="2"/>
        <v>1.4799500017543874</v>
      </c>
      <c r="D21" s="4">
        <f t="shared" ca="1" si="3"/>
        <v>5.0075286153485464E-2</v>
      </c>
      <c r="E21" s="4">
        <f t="shared" ca="1" si="4"/>
        <v>0.8415474137214799</v>
      </c>
    </row>
    <row r="22" spans="1:5">
      <c r="A22" s="3">
        <f t="shared" ca="1" si="0"/>
        <v>732.21460288791741</v>
      </c>
      <c r="B22">
        <f t="shared" ca="1" si="1"/>
        <v>334.0849751285669</v>
      </c>
      <c r="C22" s="2">
        <f t="shared" ca="1" si="2"/>
        <v>2.191701684896596</v>
      </c>
      <c r="D22" s="4">
        <f t="shared" ca="1" si="3"/>
        <v>3.6053041407251717E-3</v>
      </c>
      <c r="E22" s="4">
        <f t="shared" ca="1" si="4"/>
        <v>0.99264956510226332</v>
      </c>
    </row>
    <row r="23" spans="1:5">
      <c r="A23" s="3">
        <f t="shared" ca="1" si="0"/>
        <v>850.39237581533212</v>
      </c>
      <c r="B23">
        <f t="shared" ca="1" si="1"/>
        <v>351.33527719101198</v>
      </c>
      <c r="C23" s="2">
        <f t="shared" ca="1" si="2"/>
        <v>2.4204582660026923</v>
      </c>
      <c r="D23" s="4">
        <f t="shared" ca="1" si="3"/>
        <v>1.5947203856204668E-3</v>
      </c>
      <c r="E23" s="4">
        <f t="shared" ca="1" si="4"/>
        <v>0.99687843570881973</v>
      </c>
    </row>
    <row r="24" spans="1:5">
      <c r="A24" s="3">
        <f t="shared" ca="1" si="0"/>
        <v>595.97953422151704</v>
      </c>
      <c r="B24">
        <f t="shared" ca="1" si="1"/>
        <v>611.45964105205587</v>
      </c>
      <c r="C24" s="2">
        <f t="shared" ca="1" si="2"/>
        <v>0.97468335472819712</v>
      </c>
      <c r="D24" s="4">
        <f t="shared" ca="1" si="3"/>
        <v>6.3201883727520017E-2</v>
      </c>
      <c r="E24" s="4">
        <f t="shared" ca="1" si="4"/>
        <v>0.22273038089994221</v>
      </c>
    </row>
    <row r="25" spans="1:5">
      <c r="A25" s="3">
        <f t="shared" ca="1" si="0"/>
        <v>817.16851693774572</v>
      </c>
      <c r="B25">
        <f t="shared" ca="1" si="1"/>
        <v>707.72167754486327</v>
      </c>
      <c r="C25" s="2">
        <f t="shared" ca="1" si="2"/>
        <v>1.1546467246454302</v>
      </c>
      <c r="D25" s="4">
        <f t="shared" ca="1" si="3"/>
        <v>8.5360085668017588E-2</v>
      </c>
      <c r="E25" s="4">
        <f t="shared" ca="1" si="4"/>
        <v>0.47980230579165628</v>
      </c>
    </row>
    <row r="26" spans="1:5">
      <c r="A26" s="3">
        <f t="shared" ca="1" si="0"/>
        <v>711.30351858472534</v>
      </c>
      <c r="B26">
        <f t="shared" ca="1" si="1"/>
        <v>756.58648434882787</v>
      </c>
      <c r="C26" s="2">
        <f t="shared" ca="1" si="2"/>
        <v>0.94014832844512641</v>
      </c>
      <c r="D26" s="4">
        <f t="shared" ca="1" si="3"/>
        <v>5.5592099552825902E-2</v>
      </c>
      <c r="E26" s="4">
        <f t="shared" ca="1" si="4"/>
        <v>0.18149768105097483</v>
      </c>
    </row>
    <row r="27" spans="1:5">
      <c r="A27" s="3">
        <f t="shared" ca="1" si="0"/>
        <v>810.76340519225619</v>
      </c>
      <c r="B27">
        <f t="shared" ca="1" si="1"/>
        <v>515.76948489304584</v>
      </c>
      <c r="C27" s="2">
        <f t="shared" ca="1" si="2"/>
        <v>1.5719491535261778</v>
      </c>
      <c r="D27" s="4">
        <f t="shared" ca="1" si="3"/>
        <v>3.7394390439084726E-2</v>
      </c>
      <c r="E27" s="4">
        <f t="shared" ca="1" si="4"/>
        <v>0.89358890471613628</v>
      </c>
    </row>
    <row r="28" spans="1:5">
      <c r="A28" s="3">
        <f t="shared" ca="1" si="0"/>
        <v>700.30608292841487</v>
      </c>
      <c r="B28">
        <f t="shared" ca="1" si="1"/>
        <v>367.22191333578223</v>
      </c>
      <c r="C28" s="2">
        <f t="shared" ca="1" si="2"/>
        <v>1.9070378359694058</v>
      </c>
      <c r="D28" s="4">
        <f t="shared" ca="1" si="3"/>
        <v>1.071198692467131E-2</v>
      </c>
      <c r="E28" s="4">
        <f t="shared" ca="1" si="4"/>
        <v>0.97595657759167365</v>
      </c>
    </row>
    <row r="29" spans="1:5">
      <c r="A29" s="3">
        <f t="shared" ca="1" si="0"/>
        <v>679.24633349432952</v>
      </c>
      <c r="B29">
        <f t="shared" ca="1" si="1"/>
        <v>342.6878251709735</v>
      </c>
      <c r="C29" s="2">
        <f t="shared" ca="1" si="2"/>
        <v>1.9821139929772544</v>
      </c>
      <c r="D29" s="4">
        <f t="shared" ca="1" si="3"/>
        <v>8.0014818323810369E-3</v>
      </c>
      <c r="E29" s="4">
        <f t="shared" ca="1" si="4"/>
        <v>0.98260544498357638</v>
      </c>
    </row>
    <row r="30" spans="1:5">
      <c r="A30" s="3">
        <f t="shared" ca="1" si="0"/>
        <v>768.40674965577011</v>
      </c>
      <c r="B30">
        <f t="shared" ca="1" si="1"/>
        <v>439.45359449130495</v>
      </c>
      <c r="C30" s="2">
        <f t="shared" ca="1" si="2"/>
        <v>1.7485503800355735</v>
      </c>
      <c r="D30" s="4">
        <f t="shared" ca="1" si="3"/>
        <v>1.9747060340407487E-2</v>
      </c>
      <c r="E30" s="4">
        <f t="shared" ca="1" si="4"/>
        <v>0.9515408393730439</v>
      </c>
    </row>
    <row r="31" spans="1:5">
      <c r="A31" s="3">
        <f t="shared" ca="1" si="0"/>
        <v>529.41112215101452</v>
      </c>
      <c r="B31">
        <f t="shared" ca="1" si="1"/>
        <v>415.33401123951285</v>
      </c>
      <c r="C31" s="2">
        <f t="shared" ca="1" si="2"/>
        <v>1.2746635426534241</v>
      </c>
      <c r="D31" s="4">
        <f t="shared" ca="1" si="3"/>
        <v>7.9230732270224383E-2</v>
      </c>
      <c r="E31" s="4">
        <f t="shared" ca="1" si="4"/>
        <v>0.64526193007476595</v>
      </c>
    </row>
    <row r="32" spans="1:5">
      <c r="A32" s="3">
        <f t="shared" ca="1" si="0"/>
        <v>778.48673225439416</v>
      </c>
      <c r="B32">
        <f t="shared" ca="1" si="1"/>
        <v>532.79616624967719</v>
      </c>
      <c r="C32" s="2">
        <f t="shared" ca="1" si="2"/>
        <v>1.4611342602821624</v>
      </c>
      <c r="D32" s="4">
        <f t="shared" ca="1" si="3"/>
        <v>5.2884698272289213E-2</v>
      </c>
      <c r="E32" s="4">
        <f t="shared" ca="1" si="4"/>
        <v>0.82844969951402525</v>
      </c>
    </row>
    <row r="33" spans="1:5">
      <c r="A33" s="3">
        <f t="shared" ca="1" si="0"/>
        <v>525.29565314821457</v>
      </c>
      <c r="B33">
        <f t="shared" ca="1" si="1"/>
        <v>533.12949859737023</v>
      </c>
      <c r="C33" s="2">
        <f t="shared" ca="1" si="2"/>
        <v>0.98530592385196092</v>
      </c>
      <c r="D33" s="4">
        <f t="shared" ca="1" si="3"/>
        <v>6.5416600737603969E-2</v>
      </c>
      <c r="E33" s="4">
        <f t="shared" ca="1" si="4"/>
        <v>0.23622564956395292</v>
      </c>
    </row>
    <row r="34" spans="1:5">
      <c r="A34" s="3">
        <f t="shared" ca="1" si="0"/>
        <v>641.70148505632983</v>
      </c>
      <c r="B34">
        <f t="shared" ca="1" si="1"/>
        <v>523.64602584815509</v>
      </c>
      <c r="C34" s="2">
        <f t="shared" ca="1" si="2"/>
        <v>1.2254489738883418</v>
      </c>
      <c r="D34" s="4">
        <f t="shared" ca="1" si="3"/>
        <v>8.348091240340777E-2</v>
      </c>
      <c r="E34" s="4">
        <f t="shared" ca="1" si="4"/>
        <v>0.58087127290567298</v>
      </c>
    </row>
    <row r="35" spans="1:5">
      <c r="A35" s="3">
        <f t="shared" ca="1" si="0"/>
        <v>817.6623815259934</v>
      </c>
      <c r="B35">
        <f t="shared" ca="1" si="1"/>
        <v>496.19351464261058</v>
      </c>
      <c r="C35" s="2">
        <f t="shared" ca="1" si="2"/>
        <v>1.6478699487133053</v>
      </c>
      <c r="D35" s="4">
        <f t="shared" ca="1" si="3"/>
        <v>2.8684079390488674E-2</v>
      </c>
      <c r="E35" s="4">
        <f t="shared" ca="1" si="4"/>
        <v>0.92399767747124018</v>
      </c>
    </row>
    <row r="36" spans="1:5">
      <c r="A36" s="3">
        <f t="shared" ca="1" si="0"/>
        <v>432.60556377342942</v>
      </c>
      <c r="B36">
        <f t="shared" ca="1" si="1"/>
        <v>788.43051977987159</v>
      </c>
      <c r="C36" s="2">
        <f t="shared" ca="1" si="2"/>
        <v>0.54869205709364488</v>
      </c>
      <c r="D36" s="4">
        <f t="shared" ca="1" si="3"/>
        <v>1.7951762486485029E-3</v>
      </c>
      <c r="E36" s="4">
        <f t="shared" ca="1" si="4"/>
        <v>3.3870920709667012E-3</v>
      </c>
    </row>
    <row r="37" spans="1:5">
      <c r="A37" s="3">
        <f t="shared" ca="1" si="0"/>
        <v>646.95417485151131</v>
      </c>
      <c r="B37">
        <f t="shared" ca="1" si="1"/>
        <v>445.37704182286353</v>
      </c>
      <c r="C37" s="2">
        <f t="shared" ca="1" si="2"/>
        <v>1.4525988412056936</v>
      </c>
      <c r="D37" s="4">
        <f t="shared" ca="1" si="3"/>
        <v>5.4174320681140767E-2</v>
      </c>
      <c r="E37" s="4">
        <f t="shared" ca="1" si="4"/>
        <v>0.82220614079540233</v>
      </c>
    </row>
    <row r="38" spans="1:5">
      <c r="A38" s="3">
        <f t="shared" ca="1" si="0"/>
        <v>629.74743662214098</v>
      </c>
      <c r="B38">
        <f t="shared" ca="1" si="1"/>
        <v>488.77407892609557</v>
      </c>
      <c r="C38" s="2">
        <f t="shared" ca="1" si="2"/>
        <v>1.2884223279716129</v>
      </c>
      <c r="D38" s="4">
        <f t="shared" ca="1" si="3"/>
        <v>7.7709295124756481E-2</v>
      </c>
      <c r="E38" s="4">
        <f t="shared" ca="1" si="4"/>
        <v>0.66216791333533276</v>
      </c>
    </row>
    <row r="39" spans="1:5">
      <c r="A39" s="3">
        <f t="shared" ca="1" si="0"/>
        <v>721.02507558898094</v>
      </c>
      <c r="B39">
        <f t="shared" ca="1" si="1"/>
        <v>490.17486396809977</v>
      </c>
      <c r="C39" s="2">
        <f t="shared" ca="1" si="2"/>
        <v>1.4709548134559276</v>
      </c>
      <c r="D39" s="4">
        <f t="shared" ca="1" si="3"/>
        <v>5.1411968665425106E-2</v>
      </c>
      <c r="E39" s="4">
        <f t="shared" ca="1" si="4"/>
        <v>0.83539864127170815</v>
      </c>
    </row>
    <row r="40" spans="1:5">
      <c r="A40" s="3">
        <f t="shared" ca="1" si="0"/>
        <v>520.18865813273442</v>
      </c>
      <c r="B40">
        <f t="shared" ca="1" si="1"/>
        <v>466.08699815540382</v>
      </c>
      <c r="C40" s="2">
        <f t="shared" ca="1" si="2"/>
        <v>1.1160763123439283</v>
      </c>
      <c r="D40" s="4">
        <f t="shared" ca="1" si="3"/>
        <v>8.3850723558433371E-2</v>
      </c>
      <c r="E40" s="4">
        <f t="shared" ca="1" si="4"/>
        <v>0.42245760939509946</v>
      </c>
    </row>
    <row r="41" spans="1:5">
      <c r="A41" s="3">
        <f t="shared" ca="1" si="0"/>
        <v>762.46878540310286</v>
      </c>
      <c r="B41">
        <f t="shared" ca="1" si="1"/>
        <v>606.63610222024022</v>
      </c>
      <c r="C41" s="2">
        <f t="shared" ca="1" si="2"/>
        <v>1.2568800020515221</v>
      </c>
      <c r="D41" s="4">
        <f t="shared" ca="1" si="3"/>
        <v>8.0997717110301529E-2</v>
      </c>
      <c r="E41" s="4">
        <f t="shared" ca="1" si="4"/>
        <v>0.6226741675098374</v>
      </c>
    </row>
    <row r="42" spans="1:5">
      <c r="A42" s="3">
        <f t="shared" ca="1" si="0"/>
        <v>597.51329012226802</v>
      </c>
      <c r="B42">
        <f t="shared" ca="1" si="1"/>
        <v>482.9172071535703</v>
      </c>
      <c r="C42" s="2">
        <f t="shared" ca="1" si="2"/>
        <v>1.2372996473746596</v>
      </c>
      <c r="D42" s="4">
        <f t="shared" ca="1" si="3"/>
        <v>8.2648440641750157E-2</v>
      </c>
      <c r="E42" s="4">
        <f t="shared" ca="1" si="4"/>
        <v>0.5968991872666991</v>
      </c>
    </row>
    <row r="43" spans="1:5">
      <c r="A43" s="3">
        <f t="shared" ca="1" si="0"/>
        <v>604.16186696337854</v>
      </c>
      <c r="B43">
        <f t="shared" ca="1" si="1"/>
        <v>438.49314516097587</v>
      </c>
      <c r="C43" s="2">
        <f t="shared" ca="1" si="2"/>
        <v>1.3778137095885132</v>
      </c>
      <c r="D43" s="4">
        <f t="shared" ca="1" si="3"/>
        <v>6.556552215631245E-2</v>
      </c>
      <c r="E43" s="4">
        <f t="shared" ca="1" si="4"/>
        <v>0.75894306568801628</v>
      </c>
    </row>
    <row r="44" spans="1:5">
      <c r="A44" s="3">
        <f t="shared" ca="1" si="0"/>
        <v>500.28314706239502</v>
      </c>
      <c r="B44">
        <f t="shared" ca="1" si="1"/>
        <v>701.90577261431019</v>
      </c>
      <c r="C44" s="2">
        <f t="shared" ca="1" si="2"/>
        <v>0.71274972593407537</v>
      </c>
      <c r="D44" s="4">
        <f t="shared" ca="1" si="3"/>
        <v>1.1965395009780649E-2</v>
      </c>
      <c r="E44" s="4">
        <f t="shared" ca="1" si="4"/>
        <v>2.6417179526558913E-2</v>
      </c>
    </row>
    <row r="45" spans="1:5">
      <c r="A45" s="3">
        <f t="shared" ca="1" si="0"/>
        <v>639.09160283252493</v>
      </c>
      <c r="B45">
        <f t="shared" ca="1" si="1"/>
        <v>652.30837437178695</v>
      </c>
      <c r="C45" s="2">
        <f t="shared" ca="1" si="2"/>
        <v>0.97973846104307549</v>
      </c>
      <c r="D45" s="4">
        <f t="shared" ca="1" si="3"/>
        <v>6.4264872185167493E-2</v>
      </c>
      <c r="E45" s="4">
        <f t="shared" ca="1" si="4"/>
        <v>0.22910803679255279</v>
      </c>
    </row>
    <row r="46" spans="1:5">
      <c r="A46" s="3">
        <f t="shared" ca="1" si="0"/>
        <v>574.32603892136399</v>
      </c>
      <c r="B46">
        <f t="shared" ca="1" si="1"/>
        <v>529.81284165335342</v>
      </c>
      <c r="C46" s="2">
        <f t="shared" ca="1" si="2"/>
        <v>1.0840168334332951</v>
      </c>
      <c r="D46" s="4">
        <f t="shared" ca="1" si="3"/>
        <v>8.1149744723358147E-2</v>
      </c>
      <c r="E46" s="4">
        <f t="shared" ca="1" si="4"/>
        <v>0.37472156965415004</v>
      </c>
    </row>
    <row r="47" spans="1:5">
      <c r="A47" s="3">
        <f t="shared" ca="1" si="0"/>
        <v>565.32093705046623</v>
      </c>
      <c r="B47">
        <f t="shared" ca="1" si="1"/>
        <v>562.266327325411</v>
      </c>
      <c r="C47" s="2">
        <f t="shared" ca="1" si="2"/>
        <v>1.0054326741200836</v>
      </c>
      <c r="D47" s="4">
        <f t="shared" ca="1" si="3"/>
        <v>6.9391916062359227E-2</v>
      </c>
      <c r="E47" s="4">
        <f t="shared" ca="1" si="4"/>
        <v>0.26272335503855199</v>
      </c>
    </row>
    <row r="48" spans="1:5">
      <c r="A48" s="3">
        <f t="shared" ca="1" si="0"/>
        <v>693.96434944706084</v>
      </c>
      <c r="B48">
        <f t="shared" ca="1" si="1"/>
        <v>450.78273215392221</v>
      </c>
      <c r="C48" s="2">
        <f t="shared" ca="1" si="2"/>
        <v>1.5394652455544879</v>
      </c>
      <c r="D48" s="4">
        <f t="shared" ca="1" si="3"/>
        <v>4.1633251315060918E-2</v>
      </c>
      <c r="E48" s="4">
        <f t="shared" ca="1" si="4"/>
        <v>0.87733401646919507</v>
      </c>
    </row>
    <row r="49" spans="1:5">
      <c r="A49" s="3">
        <f t="shared" ca="1" si="0"/>
        <v>515.23016638100808</v>
      </c>
      <c r="B49">
        <f t="shared" ca="1" si="1"/>
        <v>301.16076962830942</v>
      </c>
      <c r="C49" s="2">
        <f t="shared" ca="1" si="2"/>
        <v>1.7108143501456103</v>
      </c>
      <c r="D49" s="4">
        <f t="shared" ca="1" si="3"/>
        <v>2.2762570280875544E-2</v>
      </c>
      <c r="E49" s="4">
        <f t="shared" ca="1" si="4"/>
        <v>0.94263359095582777</v>
      </c>
    </row>
    <row r="50" spans="1:5">
      <c r="A50" s="3">
        <f t="shared" ca="1" si="0"/>
        <v>738.41089499033512</v>
      </c>
      <c r="B50">
        <f t="shared" ca="1" si="1"/>
        <v>708.48317458034273</v>
      </c>
      <c r="C50" s="2">
        <f t="shared" ca="1" si="2"/>
        <v>1.0422419635127109</v>
      </c>
      <c r="D50" s="4">
        <f t="shared" ca="1" si="3"/>
        <v>7.5734053820044375E-2</v>
      </c>
      <c r="E50" s="4">
        <f t="shared" ca="1" si="4"/>
        <v>0.31383112868203805</v>
      </c>
    </row>
    <row r="51" spans="1:5">
      <c r="A51" s="3">
        <f t="shared" ca="1" si="0"/>
        <v>804.51284035390563</v>
      </c>
      <c r="B51">
        <f t="shared" ca="1" si="1"/>
        <v>552.04042884674129</v>
      </c>
      <c r="C51" s="2">
        <f t="shared" ca="1" si="2"/>
        <v>1.4573440608953232</v>
      </c>
      <c r="D51" s="4">
        <f t="shared" ca="1" si="3"/>
        <v>5.3456362763768861E-2</v>
      </c>
      <c r="E51" s="4">
        <f t="shared" ca="1" si="4"/>
        <v>0.82570084301362834</v>
      </c>
    </row>
    <row r="52" spans="1:5">
      <c r="A52" s="3">
        <f t="shared" ca="1" si="0"/>
        <v>813.68293748206509</v>
      </c>
      <c r="B52">
        <f t="shared" ca="1" si="1"/>
        <v>500.93489715775371</v>
      </c>
      <c r="C52" s="2">
        <f t="shared" ca="1" si="2"/>
        <v>1.6243287143674903</v>
      </c>
      <c r="D52" s="4">
        <f t="shared" ca="1" si="3"/>
        <v>3.1200139478832278E-2</v>
      </c>
      <c r="E52" s="4">
        <f t="shared" ca="1" si="4"/>
        <v>0.9155976312636579</v>
      </c>
    </row>
    <row r="53" spans="1:5">
      <c r="A53" s="3">
        <f t="shared" ca="1" si="0"/>
        <v>711.41786475166032</v>
      </c>
      <c r="B53">
        <f t="shared" ca="1" si="1"/>
        <v>580.0397410984109</v>
      </c>
      <c r="C53" s="2">
        <f t="shared" ca="1" si="2"/>
        <v>1.2264984868182669</v>
      </c>
      <c r="D53" s="4">
        <f t="shared" ca="1" si="3"/>
        <v>8.3412558131799125E-2</v>
      </c>
      <c r="E53" s="4">
        <f t="shared" ca="1" si="4"/>
        <v>0.58230306036537549</v>
      </c>
    </row>
    <row r="54" spans="1:5">
      <c r="A54" s="3">
        <f t="shared" ca="1" si="0"/>
        <v>633.97398185532313</v>
      </c>
      <c r="B54">
        <f t="shared" ca="1" si="1"/>
        <v>702.15093505646109</v>
      </c>
      <c r="C54" s="2">
        <f t="shared" ca="1" si="2"/>
        <v>0.90290270966361996</v>
      </c>
      <c r="D54" s="4">
        <f t="shared" ca="1" si="3"/>
        <v>4.7021487133413052E-2</v>
      </c>
      <c r="E54" s="4">
        <f t="shared" ca="1" si="4"/>
        <v>0.14206904416335575</v>
      </c>
    </row>
    <row r="55" spans="1:5">
      <c r="A55" s="3">
        <f t="shared" ca="1" si="0"/>
        <v>604.24642383453772</v>
      </c>
      <c r="B55">
        <f t="shared" ca="1" si="1"/>
        <v>535.77924496302751</v>
      </c>
      <c r="C55" s="2">
        <f t="shared" ca="1" si="2"/>
        <v>1.1277899051058518</v>
      </c>
      <c r="D55" s="4">
        <f t="shared" ca="1" si="3"/>
        <v>8.4509623733309766E-2</v>
      </c>
      <c r="E55" s="4">
        <f t="shared" ca="1" si="4"/>
        <v>0.4399367842854659</v>
      </c>
    </row>
    <row r="56" spans="1:5">
      <c r="A56" s="3">
        <f t="shared" ca="1" si="0"/>
        <v>703.69723201007037</v>
      </c>
      <c r="B56">
        <f t="shared" ca="1" si="1"/>
        <v>646.22568623834013</v>
      </c>
      <c r="C56" s="2">
        <f t="shared" ca="1" si="2"/>
        <v>1.0889341711349643</v>
      </c>
      <c r="D56" s="4">
        <f t="shared" ca="1" si="3"/>
        <v>8.1648601323725367E-2</v>
      </c>
      <c r="E56" s="4">
        <f t="shared" ca="1" si="4"/>
        <v>0.38201248722207515</v>
      </c>
    </row>
    <row r="57" spans="1:5">
      <c r="A57" s="3">
        <f t="shared" ca="1" si="0"/>
        <v>485.13445010941246</v>
      </c>
      <c r="B57">
        <f t="shared" ca="1" si="1"/>
        <v>646.78065098886464</v>
      </c>
      <c r="C57" s="2">
        <f t="shared" ca="1" si="2"/>
        <v>0.75007570088512876</v>
      </c>
      <c r="D57" s="4">
        <f t="shared" ca="1" si="3"/>
        <v>1.6798484411343059E-2</v>
      </c>
      <c r="E57" s="4">
        <f t="shared" ca="1" si="4"/>
        <v>3.9012244701573669E-2</v>
      </c>
    </row>
    <row r="58" spans="1:5">
      <c r="A58" s="3">
        <f t="shared" ca="1" si="0"/>
        <v>731.86006529809265</v>
      </c>
      <c r="B58">
        <f t="shared" ca="1" si="1"/>
        <v>455.79771104249028</v>
      </c>
      <c r="C58" s="2">
        <f t="shared" ca="1" si="2"/>
        <v>1.6056685840396143</v>
      </c>
      <c r="D58" s="4">
        <f t="shared" ca="1" si="3"/>
        <v>3.3313135183033193E-2</v>
      </c>
      <c r="E58" s="4">
        <f t="shared" ca="1" si="4"/>
        <v>0.90830868952783195</v>
      </c>
    </row>
    <row r="59" spans="1:5">
      <c r="A59" s="3">
        <f t="shared" ca="1" si="0"/>
        <v>628.48462233658222</v>
      </c>
      <c r="B59">
        <f t="shared" ca="1" si="1"/>
        <v>863.4143019154626</v>
      </c>
      <c r="C59" s="2">
        <f t="shared" ca="1" si="2"/>
        <v>0.72790619861439065</v>
      </c>
      <c r="D59" s="4">
        <f t="shared" ca="1" si="3"/>
        <v>1.3790952350246247E-2</v>
      </c>
      <c r="E59" s="4">
        <f t="shared" ca="1" si="4"/>
        <v>3.1059206872731594E-2</v>
      </c>
    </row>
    <row r="60" spans="1:5">
      <c r="A60" s="3">
        <f t="shared" ca="1" si="0"/>
        <v>574.02483654768469</v>
      </c>
      <c r="B60">
        <f t="shared" ca="1" si="1"/>
        <v>690.19074951293237</v>
      </c>
      <c r="C60" s="2">
        <f t="shared" ca="1" si="2"/>
        <v>0.83169013342003506</v>
      </c>
      <c r="D60" s="4">
        <f t="shared" ca="1" si="3"/>
        <v>3.1236216804985107E-2</v>
      </c>
      <c r="E60" s="4">
        <f t="shared" ca="1" si="4"/>
        <v>8.2565637414086041E-2</v>
      </c>
    </row>
    <row r="61" spans="1:5">
      <c r="A61" s="3">
        <f t="shared" ca="1" si="0"/>
        <v>655.70202971544165</v>
      </c>
      <c r="B61">
        <f t="shared" ca="1" si="1"/>
        <v>435.57810346234396</v>
      </c>
      <c r="C61" s="2">
        <f t="shared" ca="1" si="2"/>
        <v>1.5053604038021335</v>
      </c>
      <c r="D61" s="4">
        <f t="shared" ca="1" si="3"/>
        <v>4.6376649993508948E-2</v>
      </c>
      <c r="E61" s="4">
        <f t="shared" ca="1" si="4"/>
        <v>0.85783734414940183</v>
      </c>
    </row>
    <row r="62" spans="1:5">
      <c r="A62" s="3">
        <f t="shared" ca="1" si="0"/>
        <v>721.44136631118624</v>
      </c>
      <c r="B62">
        <f t="shared" ca="1" si="1"/>
        <v>480.30646358218263</v>
      </c>
      <c r="C62" s="2">
        <f t="shared" ca="1" si="2"/>
        <v>1.5020438428635561</v>
      </c>
      <c r="D62" s="4">
        <f t="shared" ca="1" si="3"/>
        <v>4.6852169772876602E-2</v>
      </c>
      <c r="E62" s="4">
        <f t="shared" ca="1" si="4"/>
        <v>0.85579943606221243</v>
      </c>
    </row>
    <row r="63" spans="1:5">
      <c r="A63" s="3">
        <f t="shared" ca="1" si="0"/>
        <v>434.56830814660003</v>
      </c>
      <c r="B63">
        <f t="shared" ca="1" si="1"/>
        <v>484.19666214869892</v>
      </c>
      <c r="C63" s="2">
        <f t="shared" ca="1" si="2"/>
        <v>0.89750372548653012</v>
      </c>
      <c r="D63" s="4">
        <f t="shared" ca="1" si="3"/>
        <v>4.5775379761086685E-2</v>
      </c>
      <c r="E63" s="4">
        <f t="shared" ca="1" si="4"/>
        <v>0.13681781427823866</v>
      </c>
    </row>
    <row r="64" spans="1:5">
      <c r="A64" s="3">
        <f t="shared" ca="1" si="0"/>
        <v>505.61421268181306</v>
      </c>
      <c r="B64">
        <f t="shared" ca="1" si="1"/>
        <v>745.55423112131746</v>
      </c>
      <c r="C64" s="2">
        <f t="shared" ca="1" si="2"/>
        <v>0.67817227986402362</v>
      </c>
      <c r="D64" s="4">
        <f t="shared" ca="1" si="3"/>
        <v>8.4696920516420093E-3</v>
      </c>
      <c r="E64" s="4">
        <f t="shared" ca="1" si="4"/>
        <v>1.7930364215946022E-2</v>
      </c>
    </row>
    <row r="65" spans="1:5">
      <c r="A65" s="3">
        <f t="shared" ca="1" si="0"/>
        <v>787.65019174993404</v>
      </c>
      <c r="B65">
        <f t="shared" ca="1" si="1"/>
        <v>569.29174350294318</v>
      </c>
      <c r="C65" s="2">
        <f t="shared" ca="1" si="2"/>
        <v>1.3835615933991883</v>
      </c>
      <c r="D65" s="4">
        <f t="shared" ca="1" si="3"/>
        <v>6.4702085117659819E-2</v>
      </c>
      <c r="E65" s="4">
        <f t="shared" ca="1" si="4"/>
        <v>0.7643695968066333</v>
      </c>
    </row>
    <row r="66" spans="1:5">
      <c r="A66" s="3">
        <f t="shared" ca="1" si="0"/>
        <v>681.57759260273747</v>
      </c>
      <c r="B66">
        <f t="shared" ca="1" si="1"/>
        <v>592.54809220010202</v>
      </c>
      <c r="C66" s="2">
        <f t="shared" ca="1" si="2"/>
        <v>1.1502485647571208</v>
      </c>
      <c r="D66" s="4">
        <f t="shared" ca="1" si="3"/>
        <v>8.5283066519383624E-2</v>
      </c>
      <c r="E66" s="4">
        <f t="shared" ca="1" si="4"/>
        <v>0.47330651483789743</v>
      </c>
    </row>
    <row r="67" spans="1:5">
      <c r="A67" s="3">
        <f t="shared" ref="A67:A101" ca="1" si="5">NORMSINV(RAND())*138+673</f>
        <v>749.91026895888888</v>
      </c>
      <c r="B67">
        <f t="shared" ref="B67:B101" ca="1" si="6">NORMSINV(RAND())*113+576</f>
        <v>494.38981026370232</v>
      </c>
      <c r="C67" s="2">
        <f t="shared" ref="C67:C101" ca="1" si="7">A67/B67</f>
        <v>1.5168400589787534</v>
      </c>
      <c r="D67" s="4">
        <f t="shared" ref="D67:D101" ca="1" si="8">yNRPDF(673,138,576,113,0.322,C67)</f>
        <v>4.4749286139252116E-2</v>
      </c>
      <c r="E67" s="4">
        <f t="shared" ref="E67:E101" ca="1" si="9">yNRCDF(673,138,576,113,0.322,C67)</f>
        <v>0.86469294986971368</v>
      </c>
    </row>
    <row r="68" spans="1:5">
      <c r="A68" s="3">
        <f t="shared" ca="1" si="5"/>
        <v>732.99516156223751</v>
      </c>
      <c r="B68">
        <f t="shared" ca="1" si="6"/>
        <v>642.02150583393961</v>
      </c>
      <c r="C68" s="2">
        <f t="shared" ca="1" si="7"/>
        <v>1.1416987669441534</v>
      </c>
      <c r="D68" s="4">
        <f t="shared" ca="1" si="8"/>
        <v>8.506399456162296E-2</v>
      </c>
      <c r="E68" s="4">
        <f t="shared" ca="1" si="9"/>
        <v>0.4606367247332977</v>
      </c>
    </row>
    <row r="69" spans="1:5">
      <c r="A69" s="3">
        <f t="shared" ca="1" si="5"/>
        <v>658.0653241157695</v>
      </c>
      <c r="B69">
        <f t="shared" ca="1" si="6"/>
        <v>409.50210830298431</v>
      </c>
      <c r="C69" s="2">
        <f t="shared" ca="1" si="7"/>
        <v>1.6069888549361926</v>
      </c>
      <c r="D69" s="4">
        <f t="shared" ca="1" si="8"/>
        <v>3.3160192605892327E-2</v>
      </c>
      <c r="E69" s="4">
        <f t="shared" ca="1" si="9"/>
        <v>0.90884366336031897</v>
      </c>
    </row>
    <row r="70" spans="1:5">
      <c r="A70" s="3">
        <f t="shared" ca="1" si="5"/>
        <v>640.34005657846228</v>
      </c>
      <c r="B70">
        <f t="shared" ca="1" si="6"/>
        <v>565.96762414370232</v>
      </c>
      <c r="C70" s="2">
        <f t="shared" ca="1" si="7"/>
        <v>1.1314075739708327</v>
      </c>
      <c r="D70" s="4">
        <f t="shared" ca="1" si="8"/>
        <v>8.4677562286298885E-2</v>
      </c>
      <c r="E70" s="4">
        <f t="shared" ca="1" si="9"/>
        <v>0.44532874300289221</v>
      </c>
    </row>
    <row r="71" spans="1:5">
      <c r="A71" s="3">
        <f t="shared" ca="1" si="5"/>
        <v>689.14558696126278</v>
      </c>
      <c r="B71">
        <f t="shared" ca="1" si="6"/>
        <v>514.14377779942322</v>
      </c>
      <c r="C71" s="2">
        <f t="shared" ca="1" si="7"/>
        <v>1.3403752349408202</v>
      </c>
      <c r="D71" s="4">
        <f t="shared" ca="1" si="8"/>
        <v>7.1014551598024986E-2</v>
      </c>
      <c r="E71" s="4">
        <f t="shared" ca="1" si="9"/>
        <v>0.72123380347705235</v>
      </c>
    </row>
    <row r="72" spans="1:5">
      <c r="A72" s="3">
        <f t="shared" ca="1" si="5"/>
        <v>681.2202976283611</v>
      </c>
      <c r="B72">
        <f t="shared" ca="1" si="6"/>
        <v>437.97647246401198</v>
      </c>
      <c r="C72" s="2">
        <f t="shared" ca="1" si="7"/>
        <v>1.5553810317615546</v>
      </c>
      <c r="D72" s="4">
        <f t="shared" ca="1" si="8"/>
        <v>3.9520144801672909E-2</v>
      </c>
      <c r="E72" s="4">
        <f t="shared" ca="1" si="9"/>
        <v>0.88556655289067709</v>
      </c>
    </row>
    <row r="73" spans="1:5">
      <c r="A73" s="3">
        <f t="shared" ca="1" si="5"/>
        <v>579.011260563365</v>
      </c>
      <c r="B73">
        <f t="shared" ca="1" si="6"/>
        <v>504.14513642010405</v>
      </c>
      <c r="C73" s="2">
        <f t="shared" ca="1" si="7"/>
        <v>1.1485011333737731</v>
      </c>
      <c r="D73" s="4">
        <f t="shared" ca="1" si="8"/>
        <v>8.5245762158963623E-2</v>
      </c>
      <c r="E73" s="4">
        <f t="shared" ca="1" si="9"/>
        <v>0.47072130816079072</v>
      </c>
    </row>
    <row r="74" spans="1:5">
      <c r="A74" s="3">
        <f t="shared" ca="1" si="5"/>
        <v>645.39215873300225</v>
      </c>
      <c r="B74">
        <f t="shared" ca="1" si="6"/>
        <v>747.7397062348856</v>
      </c>
      <c r="C74" s="2">
        <f t="shared" ca="1" si="7"/>
        <v>0.86312409699728698</v>
      </c>
      <c r="D74" s="4">
        <f t="shared" ca="1" si="8"/>
        <v>3.7973936787646295E-2</v>
      </c>
      <c r="E74" s="4">
        <f t="shared" ca="1" si="9"/>
        <v>0.10622588302043874</v>
      </c>
    </row>
    <row r="75" spans="1:5">
      <c r="A75" s="3">
        <f t="shared" ca="1" si="5"/>
        <v>581.79532515253106</v>
      </c>
      <c r="B75">
        <f t="shared" ca="1" si="6"/>
        <v>424.30943729458249</v>
      </c>
      <c r="C75" s="2">
        <f t="shared" ca="1" si="7"/>
        <v>1.3711581077764525</v>
      </c>
      <c r="D75" s="4">
        <f t="shared" ca="1" si="8"/>
        <v>6.6558326914503169E-2</v>
      </c>
      <c r="E75" s="4">
        <f t="shared" ca="1" si="9"/>
        <v>0.75253924885512113</v>
      </c>
    </row>
    <row r="76" spans="1:5">
      <c r="A76" s="3">
        <f t="shared" ca="1" si="5"/>
        <v>566.92842963584974</v>
      </c>
      <c r="B76">
        <f t="shared" ca="1" si="6"/>
        <v>690.35852231550439</v>
      </c>
      <c r="C76" s="2">
        <f t="shared" ca="1" si="7"/>
        <v>0.82120870722988593</v>
      </c>
      <c r="D76" s="4">
        <f t="shared" ca="1" si="8"/>
        <v>2.9111633423323981E-2</v>
      </c>
      <c r="E76" s="4">
        <f t="shared" ca="1" si="9"/>
        <v>7.5572982274269701E-2</v>
      </c>
    </row>
    <row r="77" spans="1:5">
      <c r="A77" s="3">
        <f t="shared" ca="1" si="5"/>
        <v>613.77967640556642</v>
      </c>
      <c r="B77">
        <f t="shared" ca="1" si="6"/>
        <v>469.15946821201658</v>
      </c>
      <c r="C77" s="2">
        <f t="shared" ca="1" si="7"/>
        <v>1.3082538411613063</v>
      </c>
      <c r="D77" s="4">
        <f t="shared" ca="1" si="8"/>
        <v>7.531134370682567E-2</v>
      </c>
      <c r="E77" s="4">
        <f t="shared" ca="1" si="9"/>
        <v>0.68562170348516405</v>
      </c>
    </row>
    <row r="78" spans="1:5">
      <c r="A78" s="3">
        <f t="shared" ca="1" si="5"/>
        <v>711.18630805044711</v>
      </c>
      <c r="B78">
        <f t="shared" ca="1" si="6"/>
        <v>526.24418447402729</v>
      </c>
      <c r="C78" s="2">
        <f t="shared" ca="1" si="7"/>
        <v>1.3514378477384346</v>
      </c>
      <c r="D78" s="4">
        <f t="shared" ca="1" si="8"/>
        <v>6.9443310702571093E-2</v>
      </c>
      <c r="E78" s="4">
        <f t="shared" ca="1" si="9"/>
        <v>0.73280388801433338</v>
      </c>
    </row>
    <row r="79" spans="1:5">
      <c r="A79" s="3">
        <f t="shared" ca="1" si="5"/>
        <v>538.2316039337336</v>
      </c>
      <c r="B79">
        <f t="shared" ca="1" si="6"/>
        <v>532.1583512651946</v>
      </c>
      <c r="C79" s="2">
        <f t="shared" ca="1" si="7"/>
        <v>1.0114124915151665</v>
      </c>
      <c r="D79" s="4">
        <f t="shared" ca="1" si="8"/>
        <v>7.0509622440262959E-2</v>
      </c>
      <c r="E79" s="4">
        <f t="shared" ca="1" si="9"/>
        <v>0.27081081342140673</v>
      </c>
    </row>
    <row r="80" spans="1:5">
      <c r="A80" s="3">
        <f t="shared" ca="1" si="5"/>
        <v>703.38552250705004</v>
      </c>
      <c r="B80">
        <f t="shared" ca="1" si="6"/>
        <v>694.5447076457466</v>
      </c>
      <c r="C80" s="2">
        <f t="shared" ca="1" si="7"/>
        <v>1.0127289356091569</v>
      </c>
      <c r="D80" s="4">
        <f t="shared" ca="1" si="8"/>
        <v>7.0751450558617313E-2</v>
      </c>
      <c r="E80" s="4">
        <f t="shared" ca="1" si="9"/>
        <v>0.27260353092770728</v>
      </c>
    </row>
    <row r="81" spans="1:5">
      <c r="A81" s="3">
        <f t="shared" ca="1" si="5"/>
        <v>628.21779061065104</v>
      </c>
      <c r="B81">
        <f t="shared" ca="1" si="6"/>
        <v>443.32815259508504</v>
      </c>
      <c r="C81" s="2">
        <f t="shared" ca="1" si="7"/>
        <v>1.4170491698604926</v>
      </c>
      <c r="D81" s="4">
        <f t="shared" ca="1" si="8"/>
        <v>5.9602530606642556E-2</v>
      </c>
      <c r="E81" s="4">
        <f t="shared" ca="1" si="9"/>
        <v>0.79409155410247811</v>
      </c>
    </row>
    <row r="82" spans="1:5">
      <c r="A82" s="3">
        <f t="shared" ca="1" si="5"/>
        <v>902.27004109901577</v>
      </c>
      <c r="B82">
        <f t="shared" ca="1" si="6"/>
        <v>668.59219817788039</v>
      </c>
      <c r="C82" s="2">
        <f t="shared" ca="1" si="7"/>
        <v>1.34950728345018</v>
      </c>
      <c r="D82" s="4">
        <f t="shared" ca="1" si="8"/>
        <v>6.9720263901084004E-2</v>
      </c>
      <c r="E82" s="4">
        <f t="shared" ca="1" si="9"/>
        <v>0.73081058387406939</v>
      </c>
    </row>
    <row r="83" spans="1:5">
      <c r="A83" s="3">
        <f t="shared" ca="1" si="5"/>
        <v>721.92404997142944</v>
      </c>
      <c r="B83">
        <f t="shared" ca="1" si="6"/>
        <v>522.23851049390419</v>
      </c>
      <c r="C83" s="2">
        <f t="shared" ca="1" si="7"/>
        <v>1.3823646388863084</v>
      </c>
      <c r="D83" s="4">
        <f t="shared" ca="1" si="8"/>
        <v>6.4882306116117408E-2</v>
      </c>
      <c r="E83" s="4">
        <f t="shared" ca="1" si="9"/>
        <v>0.7632474842765925</v>
      </c>
    </row>
    <row r="84" spans="1:5">
      <c r="A84" s="3">
        <f t="shared" ca="1" si="5"/>
        <v>780.96761029593904</v>
      </c>
      <c r="B84">
        <f t="shared" ca="1" si="6"/>
        <v>387.63983197239179</v>
      </c>
      <c r="C84" s="2">
        <f t="shared" ca="1" si="7"/>
        <v>2.014673276278689</v>
      </c>
      <c r="D84" s="4">
        <f t="shared" ca="1" si="8"/>
        <v>7.0545791709251725E-3</v>
      </c>
      <c r="E84" s="4">
        <f t="shared" ca="1" si="9"/>
        <v>0.98484984540234899</v>
      </c>
    </row>
    <row r="85" spans="1:5">
      <c r="A85" s="3">
        <f t="shared" ca="1" si="5"/>
        <v>637.91877535822766</v>
      </c>
      <c r="B85">
        <f t="shared" ca="1" si="6"/>
        <v>737.34075319440103</v>
      </c>
      <c r="C85" s="2">
        <f t="shared" ca="1" si="7"/>
        <v>0.86516142312025357</v>
      </c>
      <c r="D85" s="4">
        <f t="shared" ca="1" si="8"/>
        <v>3.842638955795178E-2</v>
      </c>
      <c r="E85" s="4">
        <f t="shared" ca="1" si="9"/>
        <v>0.10790090262127118</v>
      </c>
    </row>
    <row r="86" spans="1:5">
      <c r="A86" s="3">
        <f t="shared" ca="1" si="5"/>
        <v>643.27925061436508</v>
      </c>
      <c r="B86">
        <f t="shared" ca="1" si="6"/>
        <v>460.24730162647006</v>
      </c>
      <c r="C86" s="2">
        <f t="shared" ca="1" si="7"/>
        <v>1.3976817427089254</v>
      </c>
      <c r="D86" s="4">
        <f t="shared" ca="1" si="8"/>
        <v>6.2562559902484674E-2</v>
      </c>
      <c r="E86" s="4">
        <f t="shared" ca="1" si="9"/>
        <v>0.77729374791247585</v>
      </c>
    </row>
    <row r="87" spans="1:5">
      <c r="A87" s="3">
        <f t="shared" ca="1" si="5"/>
        <v>419.06044947916132</v>
      </c>
      <c r="B87">
        <f t="shared" ca="1" si="6"/>
        <v>335.23333513616444</v>
      </c>
      <c r="C87" s="2">
        <f t="shared" ca="1" si="7"/>
        <v>1.2500560223491741</v>
      </c>
      <c r="D87" s="4">
        <f t="shared" ca="1" si="8"/>
        <v>8.1610045761892083E-2</v>
      </c>
      <c r="E87" s="4">
        <f t="shared" ca="1" si="9"/>
        <v>0.61379540318708092</v>
      </c>
    </row>
    <row r="88" spans="1:5">
      <c r="A88" s="3">
        <f t="shared" ca="1" si="5"/>
        <v>693.33596331874185</v>
      </c>
      <c r="B88">
        <f t="shared" ca="1" si="6"/>
        <v>542.99754108411469</v>
      </c>
      <c r="C88" s="2">
        <f t="shared" ca="1" si="7"/>
        <v>1.2768675930547879</v>
      </c>
      <c r="D88" s="4">
        <f t="shared" ca="1" si="8"/>
        <v>7.8995592780445614E-2</v>
      </c>
      <c r="E88" s="4">
        <f t="shared" ca="1" si="9"/>
        <v>0.64800423048453393</v>
      </c>
    </row>
    <row r="89" spans="1:5">
      <c r="A89" s="3">
        <f t="shared" ca="1" si="5"/>
        <v>757.2496424366966</v>
      </c>
      <c r="B89">
        <f t="shared" ca="1" si="6"/>
        <v>639.29717191825046</v>
      </c>
      <c r="C89" s="2">
        <f t="shared" ca="1" si="7"/>
        <v>1.1845033510230032</v>
      </c>
      <c r="D89" s="4">
        <f t="shared" ca="1" si="8"/>
        <v>8.525993891127441E-2</v>
      </c>
      <c r="E89" s="4">
        <f t="shared" ca="1" si="9"/>
        <v>0.52335627353364089</v>
      </c>
    </row>
    <row r="90" spans="1:5">
      <c r="A90" s="3">
        <f t="shared" ca="1" si="5"/>
        <v>537.57797497857541</v>
      </c>
      <c r="B90">
        <f t="shared" ca="1" si="6"/>
        <v>555.53618355586457</v>
      </c>
      <c r="C90" s="2">
        <f t="shared" ca="1" si="7"/>
        <v>0.96767409736960319</v>
      </c>
      <c r="D90" s="4">
        <f t="shared" ca="1" si="8"/>
        <v>6.1702973258520595E-2</v>
      </c>
      <c r="E90" s="4">
        <f t="shared" ca="1" si="9"/>
        <v>0.21402555659668457</v>
      </c>
    </row>
    <row r="91" spans="1:5">
      <c r="A91" s="3">
        <f t="shared" ca="1" si="5"/>
        <v>749.53268959180832</v>
      </c>
      <c r="B91">
        <f t="shared" ca="1" si="6"/>
        <v>601.53215850020808</v>
      </c>
      <c r="C91" s="2">
        <f t="shared" ca="1" si="7"/>
        <v>1.2460392665632507</v>
      </c>
      <c r="D91" s="4">
        <f t="shared" ca="1" si="8"/>
        <v>8.1952294960339955E-2</v>
      </c>
      <c r="E91" s="4">
        <f t="shared" ca="1" si="9"/>
        <v>0.60851638550551368</v>
      </c>
    </row>
    <row r="92" spans="1:5">
      <c r="A92" s="3">
        <f t="shared" ca="1" si="5"/>
        <v>560.54528519434632</v>
      </c>
      <c r="B92">
        <f t="shared" ca="1" si="6"/>
        <v>636.26651174916765</v>
      </c>
      <c r="C92" s="2">
        <f t="shared" ca="1" si="7"/>
        <v>0.88099133750312397</v>
      </c>
      <c r="D92" s="4">
        <f t="shared" ca="1" si="8"/>
        <v>4.1990498565768641E-2</v>
      </c>
      <c r="E92" s="4">
        <f t="shared" ca="1" si="9"/>
        <v>0.12150793097122053</v>
      </c>
    </row>
    <row r="93" spans="1:5">
      <c r="A93" s="3">
        <f t="shared" ca="1" si="5"/>
        <v>770.98581450217205</v>
      </c>
      <c r="B93">
        <f t="shared" ca="1" si="6"/>
        <v>646.52439277349094</v>
      </c>
      <c r="C93" s="2">
        <f t="shared" ca="1" si="7"/>
        <v>1.1925084700899846</v>
      </c>
      <c r="D93" s="4">
        <f t="shared" ca="1" si="8"/>
        <v>8.5055011080083079E-2</v>
      </c>
      <c r="E93" s="4">
        <f t="shared" ca="1" si="9"/>
        <v>0.53483147473948611</v>
      </c>
    </row>
    <row r="94" spans="1:5">
      <c r="A94" s="3">
        <f t="shared" ca="1" si="5"/>
        <v>523.73306607385007</v>
      </c>
      <c r="B94">
        <f t="shared" ca="1" si="6"/>
        <v>499.09663256291287</v>
      </c>
      <c r="C94" s="2">
        <f t="shared" ca="1" si="7"/>
        <v>1.0493620511611681</v>
      </c>
      <c r="D94" s="4">
        <f t="shared" ca="1" si="8"/>
        <v>7.6800184773348656E-2</v>
      </c>
      <c r="E94" s="4">
        <f t="shared" ca="1" si="9"/>
        <v>0.32403603079577725</v>
      </c>
    </row>
    <row r="95" spans="1:5">
      <c r="A95" s="3">
        <f t="shared" ca="1" si="5"/>
        <v>780.69496846618813</v>
      </c>
      <c r="B95">
        <f t="shared" ca="1" si="6"/>
        <v>606.86576679375275</v>
      </c>
      <c r="C95" s="2">
        <f t="shared" ca="1" si="7"/>
        <v>1.2864376459901921</v>
      </c>
      <c r="D95" s="4">
        <f t="shared" ca="1" si="8"/>
        <v>7.7936426221457231E-2</v>
      </c>
      <c r="E95" s="4">
        <f t="shared" ca="1" si="9"/>
        <v>0.65976079565908774</v>
      </c>
    </row>
    <row r="96" spans="1:5">
      <c r="A96" s="3">
        <f t="shared" ca="1" si="5"/>
        <v>766.46336544108169</v>
      </c>
      <c r="B96">
        <f t="shared" ca="1" si="6"/>
        <v>446.57694807447865</v>
      </c>
      <c r="C96" s="2">
        <f t="shared" ca="1" si="7"/>
        <v>1.7163075002994856</v>
      </c>
      <c r="D96" s="4">
        <f t="shared" ca="1" si="8"/>
        <v>2.2299617218611241E-2</v>
      </c>
      <c r="E96" s="4">
        <f t="shared" ca="1" si="9"/>
        <v>0.94402608982942859</v>
      </c>
    </row>
    <row r="97" spans="1:5">
      <c r="A97" s="3">
        <f t="shared" ca="1" si="5"/>
        <v>682.31434165242194</v>
      </c>
      <c r="B97">
        <f t="shared" ca="1" si="6"/>
        <v>412.73743504592471</v>
      </c>
      <c r="C97" s="2">
        <f t="shared" ca="1" si="7"/>
        <v>1.6531438239337359</v>
      </c>
      <c r="D97" s="4">
        <f t="shared" ca="1" si="8"/>
        <v>2.8143248907316346E-2</v>
      </c>
      <c r="E97" s="4">
        <f t="shared" ca="1" si="9"/>
        <v>0.92576478836524645</v>
      </c>
    </row>
    <row r="98" spans="1:5">
      <c r="A98" s="3">
        <f t="shared" ca="1" si="5"/>
        <v>802.7388527364725</v>
      </c>
      <c r="B98">
        <f t="shared" ca="1" si="6"/>
        <v>688.13275112898293</v>
      </c>
      <c r="C98" s="2">
        <f t="shared" ca="1" si="7"/>
        <v>1.1665465005399924</v>
      </c>
      <c r="D98" s="4">
        <f t="shared" ca="1" si="8"/>
        <v>8.5448734675292237E-2</v>
      </c>
      <c r="E98" s="4">
        <f t="shared" ca="1" si="9"/>
        <v>0.49728638909684419</v>
      </c>
    </row>
    <row r="99" spans="1:5">
      <c r="A99" s="3">
        <f t="shared" ca="1" si="5"/>
        <v>677.35030778300779</v>
      </c>
      <c r="B99">
        <f t="shared" ca="1" si="6"/>
        <v>591.98996549859578</v>
      </c>
      <c r="C99" s="2">
        <f t="shared" ca="1" si="7"/>
        <v>1.1441922114550005</v>
      </c>
      <c r="D99" s="4">
        <f t="shared" ca="1" si="8"/>
        <v>8.5137394009465878E-2</v>
      </c>
      <c r="E99" s="4">
        <f t="shared" ca="1" si="9"/>
        <v>0.4643369164255578</v>
      </c>
    </row>
    <row r="100" spans="1:5">
      <c r="A100" s="3">
        <f t="shared" ca="1" si="5"/>
        <v>779.17454232338412</v>
      </c>
      <c r="B100">
        <f t="shared" ca="1" si="6"/>
        <v>444.98107576083919</v>
      </c>
      <c r="C100" s="2">
        <f t="shared" ca="1" si="7"/>
        <v>1.7510284925963042</v>
      </c>
      <c r="D100" s="4">
        <f t="shared" ca="1" si="8"/>
        <v>1.9562220370763304E-2</v>
      </c>
      <c r="E100" s="4">
        <f t="shared" ca="1" si="9"/>
        <v>0.95207437816125362</v>
      </c>
    </row>
    <row r="101" spans="1:5">
      <c r="A101" s="3">
        <f t="shared" ca="1" si="5"/>
        <v>692.11031660378478</v>
      </c>
      <c r="B101">
        <f t="shared" ca="1" si="6"/>
        <v>569.8655300868104</v>
      </c>
      <c r="C101" s="2">
        <f t="shared" ca="1" si="7"/>
        <v>1.2145151444733853</v>
      </c>
      <c r="D101" s="4">
        <f t="shared" ca="1" si="8"/>
        <v>8.412845150100294E-2</v>
      </c>
      <c r="E101" s="4">
        <f t="shared" ca="1" si="9"/>
        <v>0.56581901437782356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K18"/>
  <sheetViews>
    <sheetView workbookViewId="0">
      <selection activeCell="H14" sqref="H14"/>
    </sheetView>
  </sheetViews>
  <sheetFormatPr defaultRowHeight="16.5"/>
  <cols>
    <col min="1" max="2" width="3.375" style="5" bestFit="1" customWidth="1"/>
    <col min="3" max="10" width="6.5" style="5" bestFit="1" customWidth="1"/>
    <col min="11" max="11" width="8.875" style="5" customWidth="1"/>
  </cols>
  <sheetData>
    <row r="1" spans="1:11">
      <c r="C1" s="5" t="s">
        <v>7</v>
      </c>
    </row>
    <row r="2" spans="1:11">
      <c r="A2" s="5" t="s">
        <v>8</v>
      </c>
      <c r="B2" s="5" t="s">
        <v>9</v>
      </c>
      <c r="C2" s="5">
        <v>-1</v>
      </c>
      <c r="D2" s="5">
        <v>-0.75</v>
      </c>
      <c r="E2" s="5">
        <v>-0.5</v>
      </c>
      <c r="F2" s="5">
        <v>-0.25</v>
      </c>
      <c r="G2" s="5">
        <v>0</v>
      </c>
      <c r="H2" s="5">
        <v>0.25</v>
      </c>
      <c r="I2" s="5">
        <v>0.5</v>
      </c>
      <c r="J2" s="5">
        <v>0.75</v>
      </c>
      <c r="K2" s="5">
        <v>1</v>
      </c>
    </row>
    <row r="3" spans="1:11">
      <c r="A3" s="5">
        <v>-2</v>
      </c>
      <c r="B3" s="5">
        <v>-2</v>
      </c>
      <c r="C3" s="6">
        <f>yBNSCDF($A3,$B3,C$2)</f>
        <v>0</v>
      </c>
      <c r="D3" s="6">
        <f t="shared" ref="D3:K16" si="0">yBNSCDF($A3,$B3,D$2)</f>
        <v>3.4953128874370475E-10</v>
      </c>
      <c r="E3" s="6">
        <f>yBNSCDF($A3,$B3,E$2)</f>
        <v>3.1895582221370912E-6</v>
      </c>
      <c r="F3" s="6">
        <f t="shared" si="0"/>
        <v>8.6190145069882105E-5</v>
      </c>
      <c r="G3" s="6">
        <f t="shared" ref="G3:K5" si="1">yBNSCDF($A3,$B3,G$2)</f>
        <v>5.172236116496511E-4</v>
      </c>
      <c r="H3" s="6">
        <f t="shared" si="1"/>
        <v>1.6775224453000749E-3</v>
      </c>
      <c r="I3" s="6">
        <f t="shared" si="1"/>
        <v>4.0467996900214395E-3</v>
      </c>
      <c r="J3" s="6">
        <f t="shared" si="1"/>
        <v>8.4923339255399619E-3</v>
      </c>
      <c r="K3" s="6" t="e">
        <f t="shared" si="1"/>
        <v>#VALUE!</v>
      </c>
    </row>
    <row r="4" spans="1:11">
      <c r="A4" s="5">
        <v>-1</v>
      </c>
      <c r="B4" s="5">
        <v>-1</v>
      </c>
      <c r="C4" s="6">
        <f>yBNSCDF($A4,$B4,C$2)</f>
        <v>0</v>
      </c>
      <c r="D4" s="6">
        <f t="shared" si="0"/>
        <v>2.0529745305539096E-4</v>
      </c>
      <c r="E4" s="6">
        <f>yBNSCDF($A4,$B4,E$2)</f>
        <v>3.7800310595038026E-3</v>
      </c>
      <c r="F4" s="6">
        <f t="shared" si="0"/>
        <v>1.2399505613223696E-2</v>
      </c>
      <c r="G4" s="6">
        <f t="shared" si="1"/>
        <v>2.5171321392850523E-2</v>
      </c>
      <c r="H4" s="6">
        <f t="shared" si="1"/>
        <v>4.1673539741026534E-2</v>
      </c>
      <c r="I4" s="6">
        <f t="shared" si="1"/>
        <v>6.2509585733960871E-2</v>
      </c>
      <c r="J4" s="6">
        <f t="shared" si="1"/>
        <v>9.0454243235209883E-2</v>
      </c>
      <c r="K4" s="6" t="e">
        <f t="shared" si="1"/>
        <v>#VALUE!</v>
      </c>
    </row>
    <row r="5" spans="1:11">
      <c r="A5" s="5">
        <v>-2</v>
      </c>
      <c r="B5" s="5">
        <v>0</v>
      </c>
      <c r="C5" s="6">
        <f>yBNSCDF($A5,$B5,C$2)</f>
        <v>0</v>
      </c>
      <c r="D5" s="6">
        <f t="shared" si="0"/>
        <v>1.171305224657871E-4</v>
      </c>
      <c r="E5" s="6">
        <f>yBNSCDF($A5,$B5,E$2)</f>
        <v>2.0233998450107198E-3</v>
      </c>
      <c r="F5" s="6">
        <f t="shared" si="0"/>
        <v>6.1570852019131655E-3</v>
      </c>
      <c r="G5" s="6">
        <f t="shared" si="1"/>
        <v>1.137127522692395E-2</v>
      </c>
      <c r="H5" s="6">
        <f t="shared" si="1"/>
        <v>1.6592977929965665E-2</v>
      </c>
      <c r="I5" s="6">
        <f t="shared" si="1"/>
        <v>2.0726663286868112E-2</v>
      </c>
      <c r="J5" s="6">
        <f t="shared" si="1"/>
        <v>2.2632932609413046E-2</v>
      </c>
      <c r="K5" s="6">
        <f t="shared" si="1"/>
        <v>2.2750063131878832E-2</v>
      </c>
    </row>
    <row r="6" spans="1:11">
      <c r="A6" s="5">
        <v>-1</v>
      </c>
      <c r="B6" s="5">
        <v>0</v>
      </c>
      <c r="C6" s="6">
        <f t="shared" ref="C6:C16" si="2">yBNSCDF($A6,$B6,C$2)</f>
        <v>0</v>
      </c>
      <c r="D6" s="6">
        <f t="shared" si="0"/>
        <v>9.1526242330717406E-3</v>
      </c>
      <c r="E6" s="6">
        <f t="shared" si="0"/>
        <v>3.1254792866980435E-2</v>
      </c>
      <c r="F6" s="6">
        <f t="shared" si="0"/>
        <v>5.519867588802977E-2</v>
      </c>
      <c r="G6" s="6">
        <f t="shared" si="0"/>
        <v>7.9327361108366287E-2</v>
      </c>
      <c r="H6" s="6">
        <f t="shared" si="0"/>
        <v>0.1034565914692514</v>
      </c>
      <c r="I6" s="6">
        <f t="shared" si="0"/>
        <v>0.12740047449030073</v>
      </c>
      <c r="J6" s="6">
        <f t="shared" si="0"/>
        <v>0.14950264312420941</v>
      </c>
      <c r="K6" s="6">
        <f t="shared" si="0"/>
        <v>0.15865526735728117</v>
      </c>
    </row>
    <row r="7" spans="1:11">
      <c r="A7" s="5">
        <v>0</v>
      </c>
      <c r="B7" s="5">
        <v>0</v>
      </c>
      <c r="C7" s="6">
        <f t="shared" si="2"/>
        <v>2.2506432137905881E-4</v>
      </c>
      <c r="D7" s="6">
        <f t="shared" ref="D7:K7" si="3">yBNSCDF($A7,$B7,D$2)</f>
        <v>0.11502522048328886</v>
      </c>
      <c r="E7" s="6">
        <f t="shared" si="3"/>
        <v>0.16666648351221719</v>
      </c>
      <c r="F7" s="6">
        <f t="shared" si="3"/>
        <v>0.20978468415753887</v>
      </c>
      <c r="G7" s="6">
        <f t="shared" si="3"/>
        <v>0.2499999949229727</v>
      </c>
      <c r="H7" s="6">
        <f t="shared" si="3"/>
        <v>0.29021529180410827</v>
      </c>
      <c r="I7" s="6">
        <f t="shared" si="3"/>
        <v>0.33333349244942995</v>
      </c>
      <c r="J7" s="6">
        <f t="shared" si="3"/>
        <v>0.38497475547835824</v>
      </c>
      <c r="K7" s="6">
        <f t="shared" si="3"/>
        <v>0.4997749116402681</v>
      </c>
    </row>
    <row r="8" spans="1:11">
      <c r="A8" s="5">
        <v>1</v>
      </c>
      <c r="B8" s="5">
        <v>0</v>
      </c>
      <c r="C8" s="6">
        <f t="shared" si="2"/>
        <v>0.34134470860436594</v>
      </c>
      <c r="D8" s="6">
        <f t="shared" si="0"/>
        <v>0.35049733283743767</v>
      </c>
      <c r="E8" s="6">
        <f t="shared" si="0"/>
        <v>0.37259950147134635</v>
      </c>
      <c r="F8" s="6">
        <f t="shared" si="0"/>
        <v>0.39654338449239573</v>
      </c>
      <c r="G8" s="6">
        <f t="shared" si="0"/>
        <v>0.42067261485328084</v>
      </c>
      <c r="H8" s="6">
        <f t="shared" si="0"/>
        <v>0.44480130007361735</v>
      </c>
      <c r="I8" s="6">
        <f t="shared" si="0"/>
        <v>0.46874518309466673</v>
      </c>
      <c r="J8" s="6">
        <f t="shared" si="0"/>
        <v>0.49084735172857541</v>
      </c>
      <c r="K8" s="6">
        <f t="shared" si="0"/>
        <v>0.49999997596164714</v>
      </c>
    </row>
    <row r="9" spans="1:11">
      <c r="A9" s="5">
        <v>2</v>
      </c>
      <c r="B9" s="5">
        <v>0</v>
      </c>
      <c r="C9" s="6">
        <f t="shared" si="2"/>
        <v>0.47724991282976825</v>
      </c>
      <c r="D9" s="6">
        <f t="shared" ref="D9:K9" si="4">yBNSCDF($A9,$B9,D$2)</f>
        <v>0.47736704335223407</v>
      </c>
      <c r="E9" s="6">
        <f t="shared" si="4"/>
        <v>0.47927331267477896</v>
      </c>
      <c r="F9" s="6">
        <f t="shared" si="4"/>
        <v>0.48340699803168141</v>
      </c>
      <c r="G9" s="6">
        <f t="shared" si="4"/>
        <v>0.4886287007347232</v>
      </c>
      <c r="H9" s="6">
        <f t="shared" si="4"/>
        <v>0.49384289075973398</v>
      </c>
      <c r="I9" s="6">
        <f t="shared" si="4"/>
        <v>0.49797657611663643</v>
      </c>
      <c r="J9" s="6">
        <f t="shared" si="4"/>
        <v>0.49988284543918132</v>
      </c>
      <c r="K9" s="6">
        <f t="shared" si="4"/>
        <v>0.49999997596164714</v>
      </c>
    </row>
    <row r="10" spans="1:11">
      <c r="A10" s="5">
        <v>0</v>
      </c>
      <c r="B10" s="5">
        <v>-2</v>
      </c>
      <c r="C10" s="6">
        <f t="shared" si="2"/>
        <v>0</v>
      </c>
      <c r="D10" s="6">
        <f t="shared" si="0"/>
        <v>1.171305224657871E-4</v>
      </c>
      <c r="E10" s="6">
        <f t="shared" si="0"/>
        <v>2.0233998450107198E-3</v>
      </c>
      <c r="F10" s="6">
        <f t="shared" si="0"/>
        <v>6.1570852019131664E-3</v>
      </c>
      <c r="G10" s="6">
        <f t="shared" si="0"/>
        <v>1.1371275226923954E-2</v>
      </c>
      <c r="H10" s="6">
        <f t="shared" si="0"/>
        <v>1.6592977929965665E-2</v>
      </c>
      <c r="I10" s="6">
        <f t="shared" si="0"/>
        <v>2.0726663286868112E-2</v>
      </c>
      <c r="J10" s="6">
        <f t="shared" si="0"/>
        <v>2.2632932609413046E-2</v>
      </c>
      <c r="K10" s="6">
        <f t="shared" si="0"/>
        <v>2.2750063131878832E-2</v>
      </c>
    </row>
    <row r="11" spans="1:11">
      <c r="A11" s="5">
        <v>0</v>
      </c>
      <c r="B11" s="5">
        <v>-1</v>
      </c>
      <c r="C11" s="6">
        <f t="shared" si="2"/>
        <v>0</v>
      </c>
      <c r="D11" s="6">
        <f t="shared" si="0"/>
        <v>9.1526242330717406E-3</v>
      </c>
      <c r="E11" s="6">
        <f t="shared" si="0"/>
        <v>3.1254792866980435E-2</v>
      </c>
      <c r="F11" s="6">
        <f t="shared" si="0"/>
        <v>5.5198675888029763E-2</v>
      </c>
      <c r="G11" s="6">
        <f t="shared" si="0"/>
        <v>7.9327361108366287E-2</v>
      </c>
      <c r="H11" s="6">
        <f t="shared" si="0"/>
        <v>0.1034565914692514</v>
      </c>
      <c r="I11" s="6">
        <f t="shared" si="0"/>
        <v>0.12740047449030073</v>
      </c>
      <c r="J11" s="6">
        <f t="shared" si="0"/>
        <v>0.14950264312420941</v>
      </c>
      <c r="K11" s="6">
        <f t="shared" si="0"/>
        <v>0.15865526735728117</v>
      </c>
    </row>
    <row r="12" spans="1:11">
      <c r="A12" s="5">
        <v>0</v>
      </c>
      <c r="B12" s="5">
        <v>0</v>
      </c>
      <c r="C12" s="6">
        <f t="shared" si="2"/>
        <v>2.2506432137905881E-4</v>
      </c>
      <c r="D12" s="6">
        <f t="shared" ref="D12:K12" si="5">yBNSCDF($A12,$B12,D$2)</f>
        <v>0.11502522048328886</v>
      </c>
      <c r="E12" s="6">
        <f t="shared" si="5"/>
        <v>0.16666648351221719</v>
      </c>
      <c r="F12" s="6">
        <f t="shared" si="5"/>
        <v>0.20978468415753887</v>
      </c>
      <c r="G12" s="6">
        <f t="shared" si="5"/>
        <v>0.2499999949229727</v>
      </c>
      <c r="H12" s="6">
        <f t="shared" si="5"/>
        <v>0.29021529180410827</v>
      </c>
      <c r="I12" s="6">
        <f t="shared" si="5"/>
        <v>0.33333349244942995</v>
      </c>
      <c r="J12" s="6">
        <f t="shared" si="5"/>
        <v>0.38497475547835824</v>
      </c>
      <c r="K12" s="6">
        <f t="shared" si="5"/>
        <v>0.4997749116402681</v>
      </c>
    </row>
    <row r="13" spans="1:11">
      <c r="A13" s="5">
        <v>0</v>
      </c>
      <c r="B13" s="5">
        <v>1</v>
      </c>
      <c r="C13" s="6">
        <f t="shared" si="2"/>
        <v>0.34134470860436594</v>
      </c>
      <c r="D13" s="6">
        <f t="shared" si="0"/>
        <v>0.35049733283743767</v>
      </c>
      <c r="E13" s="6">
        <f t="shared" si="0"/>
        <v>0.37259950147134635</v>
      </c>
      <c r="F13" s="6">
        <f t="shared" si="0"/>
        <v>0.39654338449239568</v>
      </c>
      <c r="G13" s="6">
        <f t="shared" si="0"/>
        <v>0.42067261485328084</v>
      </c>
      <c r="H13" s="6">
        <f t="shared" si="0"/>
        <v>0.4448013000736174</v>
      </c>
      <c r="I13" s="6">
        <f t="shared" si="0"/>
        <v>0.46874518309466673</v>
      </c>
      <c r="J13" s="6">
        <f t="shared" si="0"/>
        <v>0.49084735172857541</v>
      </c>
      <c r="K13" s="6">
        <f t="shared" si="0"/>
        <v>0.49999997596164714</v>
      </c>
    </row>
    <row r="14" spans="1:11">
      <c r="A14" s="5">
        <v>0</v>
      </c>
      <c r="B14" s="5">
        <v>2</v>
      </c>
      <c r="C14" s="6">
        <f t="shared" si="2"/>
        <v>0.47724991282976825</v>
      </c>
      <c r="D14" s="6">
        <f t="shared" si="0"/>
        <v>0.47736704335223407</v>
      </c>
      <c r="E14" s="6">
        <f t="shared" si="0"/>
        <v>0.47927331267477896</v>
      </c>
      <c r="F14" s="6">
        <f t="shared" si="0"/>
        <v>0.48340699803168141</v>
      </c>
      <c r="G14" s="6">
        <f t="shared" si="0"/>
        <v>0.4886287007347232</v>
      </c>
      <c r="H14" s="6">
        <f t="shared" si="0"/>
        <v>0.49384289075973398</v>
      </c>
      <c r="I14" s="6">
        <f t="shared" si="0"/>
        <v>0.49797657611663643</v>
      </c>
      <c r="J14" s="6">
        <f t="shared" si="0"/>
        <v>0.49988284543918132</v>
      </c>
      <c r="K14" s="6">
        <f t="shared" si="0"/>
        <v>0.49999997596164714</v>
      </c>
    </row>
    <row r="15" spans="1:11">
      <c r="A15" s="5">
        <v>1</v>
      </c>
      <c r="B15" s="5">
        <v>1</v>
      </c>
      <c r="C15" s="6">
        <f>yBNSCDF($A15,$B15,C$2)</f>
        <v>0.68268946528543761</v>
      </c>
      <c r="D15" s="6">
        <f t="shared" si="0"/>
        <v>0.68289476273849303</v>
      </c>
      <c r="E15" s="6">
        <f>yBNSCDF($A15,$B15,E$2)</f>
        <v>0.68646949634494137</v>
      </c>
      <c r="F15" s="6">
        <f t="shared" si="0"/>
        <v>0.69508897089866128</v>
      </c>
      <c r="G15" s="6">
        <f>yBNSCDF($A15,$B15,G$2)</f>
        <v>0.70786078667828811</v>
      </c>
      <c r="H15" s="6">
        <f>yBNSCDF($A15,$B15,H$2)</f>
        <v>0.72436300502646411</v>
      </c>
      <c r="I15" s="6">
        <f>yBNSCDF($A15,$B15,I$2)</f>
        <v>0.74519905101939843</v>
      </c>
      <c r="J15" s="6">
        <f>yBNSCDF($A15,$B15,J$2)</f>
        <v>0.77314370852064751</v>
      </c>
      <c r="K15" s="6" t="e">
        <f>yBNSCDF($A15,$B15,K$2)</f>
        <v>#VALUE!</v>
      </c>
    </row>
    <row r="16" spans="1:11">
      <c r="A16" s="5">
        <v>2</v>
      </c>
      <c r="B16" s="5">
        <v>2</v>
      </c>
      <c r="C16" s="6">
        <f t="shared" si="2"/>
        <v>0.95449987373624223</v>
      </c>
      <c r="D16" s="6">
        <f t="shared" si="0"/>
        <v>0.95449987408577353</v>
      </c>
      <c r="E16" s="6">
        <f t="shared" si="0"/>
        <v>0.95450306329446433</v>
      </c>
      <c r="F16" s="6">
        <f t="shared" si="0"/>
        <v>0.95458606388131206</v>
      </c>
      <c r="G16" s="6">
        <f t="shared" si="0"/>
        <v>0.95501709734789186</v>
      </c>
      <c r="H16" s="6">
        <f t="shared" si="0"/>
        <v>0.95617739618154229</v>
      </c>
      <c r="I16" s="6">
        <f t="shared" si="0"/>
        <v>0.95854667342626365</v>
      </c>
      <c r="J16" s="6">
        <f t="shared" si="0"/>
        <v>0.96299220766178217</v>
      </c>
      <c r="K16" s="6" t="e">
        <f t="shared" si="0"/>
        <v>#VALUE!</v>
      </c>
    </row>
    <row r="17" spans="3:11" customFormat="1">
      <c r="C17" s="6"/>
      <c r="D17" s="6"/>
      <c r="E17" s="6"/>
      <c r="F17" s="6"/>
      <c r="G17" s="6"/>
      <c r="H17" s="6"/>
      <c r="I17" s="6"/>
      <c r="J17" s="6"/>
      <c r="K17" s="6"/>
    </row>
    <row r="18" spans="3:11" customFormat="1">
      <c r="C18" s="6"/>
      <c r="D18" s="6"/>
      <c r="E18" s="6"/>
      <c r="F18" s="6"/>
      <c r="G18" s="6"/>
      <c r="H18" s="6"/>
      <c r="I18" s="6"/>
      <c r="J18" s="6"/>
      <c r="K18" s="6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yNRCDF(),PDF()</vt:lpstr>
      <vt:lpstr>yBNSCDF()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2015-11-28T04:52:02Z</dcterms:created>
  <dcterms:modified xsi:type="dcterms:W3CDTF">2015-11-30T10:49:55Z</dcterms:modified>
</cp:coreProperties>
</file>