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95" yWindow="90" windowWidth="17175" windowHeight="7740"/>
  </bookViews>
  <sheets>
    <sheet name="Sheet1" sheetId="6" r:id="rId1"/>
  </sheets>
  <functionGroups/>
  <calcPr calcId="125725"/>
</workbook>
</file>

<file path=xl/calcChain.xml><?xml version="1.0" encoding="utf-8"?>
<calcChain xmlns="http://schemas.openxmlformats.org/spreadsheetml/2006/main">
  <c r="D44" i="6"/>
  <c r="D45"/>
  <c r="D46"/>
  <c r="D47"/>
  <c r="D36"/>
  <c r="D37"/>
  <c r="D38"/>
  <c r="D39"/>
  <c r="D40"/>
  <c r="D41"/>
  <c r="D42"/>
  <c r="D43"/>
  <c r="D33"/>
  <c r="D34"/>
  <c r="D35"/>
  <c r="D24"/>
  <c r="D25"/>
  <c r="D26"/>
  <c r="D27"/>
  <c r="D28"/>
  <c r="D29"/>
  <c r="D30"/>
  <c r="D31"/>
  <c r="D32"/>
  <c r="E44"/>
  <c r="E45"/>
  <c r="E46"/>
  <c r="E47"/>
  <c r="E36"/>
  <c r="E37"/>
  <c r="E38"/>
  <c r="E39"/>
  <c r="E40"/>
  <c r="E41"/>
  <c r="E42"/>
  <c r="E43"/>
  <c r="E33"/>
  <c r="E34"/>
  <c r="E35"/>
  <c r="E24"/>
  <c r="E25"/>
  <c r="E26"/>
  <c r="E27"/>
  <c r="E28"/>
  <c r="E29"/>
  <c r="E30"/>
  <c r="E31"/>
  <c r="E32"/>
  <c r="E2"/>
  <c r="F33" l="1"/>
  <c r="G32"/>
  <c r="F32"/>
  <c r="G31"/>
  <c r="F31"/>
  <c r="G30"/>
  <c r="F30"/>
  <c r="G29"/>
  <c r="F29"/>
  <c r="G28"/>
  <c r="F28"/>
  <c r="G27"/>
  <c r="F27"/>
  <c r="G26"/>
  <c r="F26"/>
  <c r="G25"/>
  <c r="F25"/>
  <c r="G24"/>
  <c r="F36"/>
  <c r="G35"/>
  <c r="F35"/>
  <c r="G34"/>
  <c r="F34"/>
  <c r="G33"/>
  <c r="F44"/>
  <c r="G43"/>
  <c r="F43"/>
  <c r="G42"/>
  <c r="F42"/>
  <c r="G41"/>
  <c r="F41"/>
  <c r="G40"/>
  <c r="F40"/>
  <c r="G39"/>
  <c r="F39"/>
  <c r="G38"/>
  <c r="F38"/>
  <c r="G37"/>
  <c r="F37"/>
  <c r="G36"/>
  <c r="G47"/>
  <c r="F47"/>
  <c r="G46"/>
  <c r="F46"/>
  <c r="G45"/>
  <c r="G44"/>
  <c r="F45"/>
  <c r="B5"/>
  <c r="G2" s="1"/>
  <c r="D3"/>
  <c r="E3"/>
  <c r="G3" l="1"/>
  <c r="F3"/>
  <c r="D4"/>
  <c r="E4"/>
  <c r="G4" l="1"/>
  <c r="F4"/>
  <c r="D5"/>
  <c r="E5"/>
  <c r="G5" l="1"/>
  <c r="F5"/>
  <c r="D6"/>
  <c r="E6"/>
  <c r="G6" l="1"/>
  <c r="F6"/>
  <c r="D7"/>
  <c r="E7"/>
  <c r="G7" l="1"/>
  <c r="F7"/>
  <c r="D8"/>
  <c r="E8"/>
  <c r="G8" l="1"/>
  <c r="F8"/>
  <c r="D9"/>
  <c r="E9"/>
  <c r="G9" l="1"/>
  <c r="F9"/>
  <c r="D10"/>
  <c r="E10"/>
  <c r="G10" l="1"/>
  <c r="F10"/>
  <c r="D11"/>
  <c r="E11"/>
  <c r="G11" l="1"/>
  <c r="F11"/>
  <c r="D12"/>
  <c r="E12"/>
  <c r="G12" l="1"/>
  <c r="F12"/>
  <c r="D13"/>
  <c r="E13"/>
  <c r="G13" l="1"/>
  <c r="F13"/>
  <c r="D14"/>
  <c r="E14"/>
  <c r="G14" l="1"/>
  <c r="F14"/>
  <c r="D15"/>
  <c r="E15"/>
  <c r="G15" l="1"/>
  <c r="F15"/>
  <c r="D16"/>
  <c r="E16"/>
  <c r="G16" l="1"/>
  <c r="F16"/>
  <c r="D17"/>
  <c r="E17"/>
  <c r="G17" l="1"/>
  <c r="F17"/>
  <c r="D18"/>
  <c r="E18"/>
  <c r="G18" l="1"/>
  <c r="F18"/>
  <c r="D19"/>
  <c r="E19"/>
  <c r="G19" l="1"/>
  <c r="F19"/>
  <c r="D20"/>
  <c r="E20"/>
  <c r="G20" l="1"/>
  <c r="F20"/>
  <c r="D21"/>
  <c r="E21"/>
  <c r="G21" l="1"/>
  <c r="F21"/>
  <c r="D22"/>
  <c r="E22"/>
  <c r="G22" l="1"/>
  <c r="F22"/>
  <c r="D23"/>
  <c r="E23"/>
  <c r="F24" l="1"/>
  <c r="G23"/>
  <c r="F23"/>
</calcChain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color indexed="81"/>
            <rFont val="Tahoma"/>
            <family val="2"/>
          </rPr>
          <t>14 Istor EVT0 MTO
Dec13</t>
        </r>
      </text>
    </comment>
  </commentList>
</comments>
</file>

<file path=xl/sharedStrings.xml><?xml version="1.0" encoding="utf-8"?>
<sst xmlns="http://schemas.openxmlformats.org/spreadsheetml/2006/main" count="12" uniqueCount="12">
  <si>
    <t>L=</t>
    <phoneticPr fontId="1" type="noConversion"/>
  </si>
  <si>
    <t>Df=</t>
    <phoneticPr fontId="1" type="noConversion"/>
  </si>
  <si>
    <t>Di0=</t>
    <phoneticPr fontId="1" type="noConversion"/>
  </si>
  <si>
    <t>Month</t>
    <phoneticPr fontId="1" type="noConversion"/>
  </si>
  <si>
    <t>D0</t>
    <phoneticPr fontId="1" type="noConversion"/>
  </si>
  <si>
    <t>A=</t>
    <phoneticPr fontId="1" type="noConversion"/>
  </si>
  <si>
    <t>GD=</t>
    <phoneticPr fontId="1" type="noConversion"/>
  </si>
  <si>
    <t>Y</t>
    <phoneticPr fontId="1" type="noConversion"/>
  </si>
  <si>
    <t>Chk</t>
    <phoneticPr fontId="1" type="noConversion"/>
  </si>
  <si>
    <t>MTOM 0</t>
    <phoneticPr fontId="1" type="noConversion"/>
  </si>
  <si>
    <t>Apr14</t>
    <phoneticPr fontId="1" type="noConversion"/>
  </si>
  <si>
    <t>Dec15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</si>
</sst>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0.0_ "/>
    <numFmt numFmtId="178" formatCode="0_ "/>
    <numFmt numFmtId="179" formatCode="0.000_ "/>
    <numFmt numFmtId="180" formatCode="0.0%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sz val="1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80" fontId="0" fillId="0" borderId="0" xfId="1" applyNumberFormat="1" applyFont="1" applyAlignment="1">
      <alignment horizontal="center" vertical="center"/>
    </xf>
    <xf numFmtId="179" fontId="0" fillId="0" borderId="0" xfId="0" applyNumberFormat="1" applyAlignment="1">
      <alignment horizontal="left" vertical="center"/>
    </xf>
    <xf numFmtId="178" fontId="4" fillId="0" borderId="0" xfId="0" applyNumberFormat="1" applyFont="1" applyAlignment="1">
      <alignment horizontal="left" vertical="center"/>
    </xf>
    <xf numFmtId="16" fontId="0" fillId="0" borderId="0" xfId="0" quotePrefix="1" applyNumberFormat="1" applyAlignment="1">
      <alignment horizontal="left" vertical="center"/>
    </xf>
    <xf numFmtId="0" fontId="0" fillId="0" borderId="0" xfId="0" quotePrefix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>
        <c:manualLayout>
          <c:layoutTarget val="inner"/>
          <c:xMode val="edge"/>
          <c:yMode val="edge"/>
          <c:x val="0.16775631313131323"/>
          <c:y val="5.8070570760648491E-2"/>
          <c:w val="0.65196388888888912"/>
          <c:h val="0.76151820987654317"/>
        </c:manualLayout>
      </c:layout>
      <c:scatterChart>
        <c:scatterStyle val="smoothMarker"/>
        <c:ser>
          <c:idx val="0"/>
          <c:order val="0"/>
          <c:tx>
            <c:strRef>
              <c:f>Sheet1!$E$1</c:f>
              <c:strCache>
                <c:ptCount val="1"/>
                <c:pt idx="0">
                  <c:v>D0</c:v>
                </c:pt>
              </c:strCache>
            </c:strRef>
          </c:tx>
          <c:xVal>
            <c:numRef>
              <c:f>Sheet1!$D$2:$D$99</c:f>
              <c:numCache>
                <c:formatCode>General</c:formatCode>
                <c:ptCount val="98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</c:numCache>
            </c:numRef>
          </c:xVal>
          <c:yVal>
            <c:numRef>
              <c:f>Sheet1!$E$2:$E$99</c:f>
              <c:numCache>
                <c:formatCode>0.0_ </c:formatCode>
                <c:ptCount val="98"/>
                <c:pt idx="0">
                  <c:v>90.22024680261535</c:v>
                </c:pt>
                <c:pt idx="1">
                  <c:v>72.586078429302745</c:v>
                </c:pt>
                <c:pt idx="2">
                  <c:v>58.408207057159416</c:v>
                </c:pt>
                <c:pt idx="3">
                  <c:v>47.009198473956175</c:v>
                </c:pt>
                <c:pt idx="4">
                  <c:v>37.844395573060766</c:v>
                </c:pt>
                <c:pt idx="5">
                  <c:v>30.475894040740858</c:v>
                </c:pt>
                <c:pt idx="6">
                  <c:v>24.551618808755652</c:v>
                </c:pt>
                <c:pt idx="7">
                  <c:v>19.788501522239546</c:v>
                </c:pt>
                <c:pt idx="8">
                  <c:v>15.958955223880597</c:v>
                </c:pt>
                <c:pt idx="9">
                  <c:v>12.88</c:v>
                </c:pt>
                <c:pt idx="10">
                  <c:v>10.404520000000002</c:v>
                </c:pt>
                <c:pt idx="11" formatCode="0.00_ ">
                  <c:v>8.4142340800000017</c:v>
                </c:pt>
                <c:pt idx="12" formatCode="0.00_ ">
                  <c:v>6.8140442003200015</c:v>
                </c:pt>
                <c:pt idx="13" formatCode="0.00_ ">
                  <c:v>5.5274915370572817</c:v>
                </c:pt>
                <c:pt idx="14" formatCode="0.00_ ">
                  <c:v>4.4931031957940544</c:v>
                </c:pt>
                <c:pt idx="15" formatCode="0.00_ ">
                  <c:v>3.6614549694184197</c:v>
                </c:pt>
                <c:pt idx="16" formatCode="0.00_ ">
                  <c:v>2.9928097954124095</c:v>
                </c:pt>
                <c:pt idx="17" formatCode="0.00_ ">
                  <c:v>2.4552190755115775</c:v>
                </c:pt>
                <c:pt idx="18" formatCode="0.00_ ">
                  <c:v>2.0229961367113081</c:v>
                </c:pt>
                <c:pt idx="19" formatCode="0.00_ ">
                  <c:v>1.6754888939158918</c:v>
                </c:pt>
                <c:pt idx="20" formatCode="0.00_ ">
                  <c:v>1.3960930707083772</c:v>
                </c:pt>
                <c:pt idx="21" formatCode="0.00_ ">
                  <c:v>1.1714588288495353</c:v>
                </c:pt>
                <c:pt idx="22" formatCode="0.00_ ">
                  <c:v>0.99085289839502644</c:v>
                </c:pt>
                <c:pt idx="23" formatCode="0.00_ ">
                  <c:v>0.84564573030960133</c:v>
                </c:pt>
                <c:pt idx="24" formatCode="0.00_ ">
                  <c:v>0.72889916716891956</c:v>
                </c:pt>
                <c:pt idx="25" formatCode="0.00_ ">
                  <c:v>0.63503493040381143</c:v>
                </c:pt>
                <c:pt idx="26" formatCode="0.00_ ">
                  <c:v>0.5595680840446644</c:v>
                </c:pt>
                <c:pt idx="27" formatCode="0.00_ ">
                  <c:v>0.49889273957191016</c:v>
                </c:pt>
                <c:pt idx="28" formatCode="0.00_ ">
                  <c:v>0.45010976261581581</c:v>
                </c:pt>
                <c:pt idx="29" formatCode="0.00_ ">
                  <c:v>0.41088824914311595</c:v>
                </c:pt>
                <c:pt idx="30" formatCode="0.00_ ">
                  <c:v>0.37935415231106523</c:v>
                </c:pt>
                <c:pt idx="31" formatCode="0.00_ ">
                  <c:v>0.35400073845809643</c:v>
                </c:pt>
                <c:pt idx="32" formatCode="0.00_ ">
                  <c:v>0.33361659372030955</c:v>
                </c:pt>
                <c:pt idx="33" formatCode="0.00_ ">
                  <c:v>0.31722774135112886</c:v>
                </c:pt>
                <c:pt idx="34" formatCode="0.00_ ">
                  <c:v>0.30405110404630759</c:v>
                </c:pt>
                <c:pt idx="35" formatCode="0.00_ ">
                  <c:v>0.29345708765323131</c:v>
                </c:pt>
                <c:pt idx="36" formatCode="0.00_ ">
                  <c:v>0.28493949847319799</c:v>
                </c:pt>
                <c:pt idx="37" formatCode="0.00_ ">
                  <c:v>0.27809135677245117</c:v>
                </c:pt>
                <c:pt idx="38" formatCode="0.00_ ">
                  <c:v>0.27258545084505076</c:v>
                </c:pt>
                <c:pt idx="39" formatCode="0.00_ ">
                  <c:v>0.26815870247942081</c:v>
                </c:pt>
                <c:pt idx="40" formatCode="0.00_ ">
                  <c:v>0.26459959679345435</c:v>
                </c:pt>
                <c:pt idx="41" formatCode="0.00_ ">
                  <c:v>0.26173807582193731</c:v>
                </c:pt>
                <c:pt idx="42" formatCode="0.00_ ">
                  <c:v>0.25943741296083761</c:v>
                </c:pt>
                <c:pt idx="43" formatCode="0.00_ ">
                  <c:v>0.25758768002051347</c:v>
                </c:pt>
                <c:pt idx="44" formatCode="0.00_ ">
                  <c:v>0.25610049473649282</c:v>
                </c:pt>
                <c:pt idx="45" formatCode="0.00_ ">
                  <c:v>0.25490479776814023</c:v>
                </c:pt>
              </c:numCache>
            </c:numRef>
          </c:yVal>
          <c:smooth val="1"/>
        </c:ser>
        <c:axId val="153098112"/>
        <c:axId val="153112576"/>
      </c:scatterChart>
      <c:scatterChart>
        <c:scatterStyle val="smoothMarker"/>
        <c:ser>
          <c:idx val="1"/>
          <c:order val="1"/>
          <c:tx>
            <c:strRef>
              <c:f>Sheet1!$G$1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Sheet1!$D$2:$D$99</c:f>
              <c:numCache>
                <c:formatCode>General</c:formatCode>
                <c:ptCount val="98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</c:numCache>
            </c:numRef>
          </c:xVal>
          <c:yVal>
            <c:numRef>
              <c:f>Sheet1!$G$2:$G$99</c:f>
              <c:numCache>
                <c:formatCode>0.0%</c:formatCode>
                <c:ptCount val="98"/>
                <c:pt idx="0">
                  <c:v>1.8405816941226226E-36</c:v>
                </c:pt>
                <c:pt idx="1">
                  <c:v>1.7767063233626152E-29</c:v>
                </c:pt>
                <c:pt idx="2">
                  <c:v>7.3330176439421254E-24</c:v>
                </c:pt>
                <c:pt idx="3">
                  <c:v>2.4003748281200399E-19</c:v>
                </c:pt>
                <c:pt idx="4">
                  <c:v>1.0240852624084771E-15</c:v>
                </c:pt>
                <c:pt idx="5">
                  <c:v>8.4898884969554113E-13</c:v>
                </c:pt>
                <c:pt idx="6">
                  <c:v>1.8855104599947477E-10</c:v>
                </c:pt>
                <c:pt idx="7">
                  <c:v>1.452234070951622E-8</c:v>
                </c:pt>
                <c:pt idx="8">
                  <c:v>4.7738546588373221E-7</c:v>
                </c:pt>
                <c:pt idx="9">
                  <c:v>7.9141190663376566E-6</c:v>
                </c:pt>
                <c:pt idx="10">
                  <c:v>7.56671581111657E-5</c:v>
                </c:pt>
                <c:pt idx="11">
                  <c:v>4.6476489501918534E-4</c:v>
                </c:pt>
                <c:pt idx="12">
                  <c:v>2.0000798565059361E-3</c:v>
                </c:pt>
                <c:pt idx="13">
                  <c:v>6.4659718125809236E-3</c:v>
                </c:pt>
                <c:pt idx="14">
                  <c:v>1.6608917573980281E-2</c:v>
                </c:pt>
                <c:pt idx="15">
                  <c:v>3.546060803746625E-2</c:v>
                </c:pt>
                <c:pt idx="16">
                  <c:v>6.5251075773657505E-2</c:v>
                </c:pt>
                <c:pt idx="17">
                  <c:v>0.10654185170038399</c:v>
                </c:pt>
                <c:pt idx="18">
                  <c:v>0.1580221703701308</c:v>
                </c:pt>
                <c:pt idx="19">
                  <c:v>0.21695069160063618</c:v>
                </c:pt>
                <c:pt idx="20">
                  <c:v>0.27991490480818504</c:v>
                </c:pt>
                <c:pt idx="21">
                  <c:v>0.34355847984252696</c:v>
                </c:pt>
                <c:pt idx="22">
                  <c:v>0.40507579179399422</c:v>
                </c:pt>
                <c:pt idx="23">
                  <c:v>0.46243524379975909</c:v>
                </c:pt>
                <c:pt idx="24">
                  <c:v>0.51439020865737406</c:v>
                </c:pt>
                <c:pt idx="25">
                  <c:v>0.56036509366515797</c:v>
                </c:pt>
                <c:pt idx="26">
                  <c:v>0.6002919130401575</c:v>
                </c:pt>
                <c:pt idx="27">
                  <c:v>0.63444677346269485</c:v>
                </c:pt>
                <c:pt idx="28">
                  <c:v>0.6633114348500907</c:v>
                </c:pt>
                <c:pt idx="29">
                  <c:v>0.68746818778444641</c:v>
                </c:pt>
                <c:pt idx="30">
                  <c:v>0.70752671765213471</c:v>
                </c:pt>
                <c:pt idx="31">
                  <c:v>0.72407740561643263</c:v>
                </c:pt>
                <c:pt idx="32">
                  <c:v>0.73766450334727562</c:v>
                </c:pt>
                <c:pt idx="33">
                  <c:v>0.74877320198594299</c:v>
                </c:pt>
                <c:pt idx="34">
                  <c:v>0.75782579621148871</c:v>
                </c:pt>
                <c:pt idx="35">
                  <c:v>0.76518338987103973</c:v>
                </c:pt>
                <c:pt idx="36">
                  <c:v>0.77115066658800757</c:v>
                </c:pt>
                <c:pt idx="37">
                  <c:v>0.77598208801992086</c:v>
                </c:pt>
                <c:pt idx="38">
                  <c:v>0.77988849383678693</c:v>
                </c:pt>
                <c:pt idx="39">
                  <c:v>0.78304350094313258</c:v>
                </c:pt>
                <c:pt idx="40">
                  <c:v>0.78558938037110371</c:v>
                </c:pt>
                <c:pt idx="41">
                  <c:v>0.78764226893642653</c:v>
                </c:pt>
                <c:pt idx="42">
                  <c:v>0.78929668111040707</c:v>
                </c:pt>
                <c:pt idx="43">
                  <c:v>0.79062934827142106</c:v>
                </c:pt>
                <c:pt idx="44">
                  <c:v>0.79170244428435366</c:v>
                </c:pt>
                <c:pt idx="45">
                  <c:v>0.79256626963535881</c:v>
                </c:pt>
              </c:numCache>
            </c:numRef>
          </c:yVal>
          <c:smooth val="1"/>
        </c:ser>
        <c:axId val="153116672"/>
        <c:axId val="153114496"/>
      </c:scatterChart>
      <c:valAx>
        <c:axId val="153098112"/>
        <c:scaling>
          <c:orientation val="minMax"/>
          <c:max val="32"/>
          <c:min val="-1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MTO Month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0.39317685185185208"/>
              <c:y val="0.91386923901393369"/>
            </c:manualLayout>
          </c:layout>
        </c:title>
        <c:numFmt formatCode="General" sourceLinked="1"/>
        <c:tickLblPos val="nextTo"/>
        <c:crossAx val="153112576"/>
        <c:crossesAt val="0.1"/>
        <c:crossBetween val="midCat"/>
        <c:majorUnit val="12"/>
      </c:valAx>
      <c:valAx>
        <c:axId val="153112576"/>
        <c:scaling>
          <c:logBase val="10"/>
          <c:orientation val="minMax"/>
          <c:max val="100"/>
          <c:min val="0.1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Defect</a:t>
                </a:r>
              </a:p>
            </c:rich>
          </c:tx>
          <c:layout/>
        </c:title>
        <c:numFmt formatCode="General" sourceLinked="0"/>
        <c:minorTickMark val="in"/>
        <c:tickLblPos val="nextTo"/>
        <c:crossAx val="153098112"/>
        <c:crossesAt val="-12"/>
        <c:crossBetween val="midCat"/>
      </c:valAx>
      <c:valAx>
        <c:axId val="153114496"/>
        <c:scaling>
          <c:orientation val="minMax"/>
          <c:max val="1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Yield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93265151515151534"/>
              <c:y val="0.3594351851851853"/>
            </c:manualLayout>
          </c:layout>
        </c:title>
        <c:numFmt formatCode="General" sourceLinked="0"/>
        <c:tickLblPos val="nextTo"/>
        <c:crossAx val="153116672"/>
        <c:crosses val="max"/>
        <c:crossBetween val="midCat"/>
        <c:majorUnit val="0.2"/>
      </c:valAx>
      <c:valAx>
        <c:axId val="153116672"/>
        <c:scaling>
          <c:orientation val="minMax"/>
        </c:scaling>
        <c:delete val="1"/>
        <c:axPos val="b"/>
        <c:numFmt formatCode="General" sourceLinked="1"/>
        <c:tickLblPos val="none"/>
        <c:crossAx val="153114496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23001439393939399"/>
          <c:y val="0.52484413580246903"/>
          <c:w val="0.17917191358024692"/>
          <c:h val="0.1622205905933784"/>
        </c:manualLayout>
      </c:layout>
      <c:spPr>
        <a:ln>
          <a:solidFill>
            <a:schemeClr val="tx1">
              <a:lumMod val="50000"/>
              <a:lumOff val="50000"/>
            </a:schemeClr>
          </a:solidFill>
        </a:ln>
      </c:spPr>
    </c:legend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57150</xdr:colOff>
      <xdr:row>0</xdr:row>
      <xdr:rowOff>180973</xdr:rowOff>
    </xdr:from>
    <xdr:to>
      <xdr:col>12</xdr:col>
      <xdr:colOff>588150</xdr:colOff>
      <xdr:row>16</xdr:row>
      <xdr:rowOff>68173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259"/>
  <sheetViews>
    <sheetView showGridLines="0" tabSelected="1" zoomScaleNormal="100" workbookViewId="0">
      <selection activeCell="C2" sqref="C2:C3"/>
    </sheetView>
  </sheetViews>
  <sheetFormatPr defaultRowHeight="16.5"/>
  <cols>
    <col min="1" max="1" width="5.75" style="6" bestFit="1" customWidth="1"/>
    <col min="2" max="2" width="6.5" style="7" bestFit="1" customWidth="1"/>
    <col min="3" max="3" width="9.375" style="7" bestFit="1" customWidth="1"/>
    <col min="4" max="4" width="6.25" bestFit="1" customWidth="1"/>
    <col min="5" max="5" width="5.5" bestFit="1" customWidth="1"/>
    <col min="6" max="6" width="6.25" bestFit="1" customWidth="1"/>
    <col min="7" max="7" width="6.5" style="3" bestFit="1" customWidth="1"/>
  </cols>
  <sheetData>
    <row r="1" spans="1:8">
      <c r="A1" s="6" t="s">
        <v>2</v>
      </c>
      <c r="B1" s="8">
        <v>12.88</v>
      </c>
      <c r="C1" s="7" t="s">
        <v>9</v>
      </c>
      <c r="D1" s="3" t="s">
        <v>3</v>
      </c>
      <c r="E1" s="3" t="s">
        <v>4</v>
      </c>
      <c r="F1" s="3" t="s">
        <v>8</v>
      </c>
      <c r="G1" s="3" t="s">
        <v>7</v>
      </c>
    </row>
    <row r="2" spans="1:8">
      <c r="A2" s="6" t="s">
        <v>1</v>
      </c>
      <c r="B2" s="7">
        <v>0.25</v>
      </c>
      <c r="C2" s="13" t="s">
        <v>10</v>
      </c>
      <c r="D2" s="3">
        <v>-9</v>
      </c>
      <c r="E2" s="4">
        <f>yDnextFromLearningRateAndRef0($B$1,$B$2,$B$3,D2)</f>
        <v>90.22024680261535</v>
      </c>
      <c r="F2" s="3"/>
      <c r="G2" s="10">
        <f>EXP(-E2*$B$5)</f>
        <v>1.8405816941226226E-36</v>
      </c>
    </row>
    <row r="3" spans="1:8">
      <c r="A3" s="6" t="s">
        <v>0</v>
      </c>
      <c r="B3" s="7">
        <v>0.19600000000000001</v>
      </c>
      <c r="C3" s="14" t="s">
        <v>11</v>
      </c>
      <c r="D3" s="3">
        <f>D2+1</f>
        <v>-8</v>
      </c>
      <c r="E3" s="4">
        <f t="shared" ref="E3:E47" si="0">yDnextFromLearningRateAndRef0($B$1,$B$2,$B$3,D3)</f>
        <v>72.586078429302745</v>
      </c>
      <c r="F3" s="3">
        <f t="shared" ref="F3:F23" si="1">(E2-E3)/(E2-$B$2)</f>
        <v>0.19599999999999995</v>
      </c>
      <c r="G3" s="10">
        <f t="shared" ref="G3:G47" si="2">EXP(-E3*$B$5)</f>
        <v>1.7767063233626152E-29</v>
      </c>
    </row>
    <row r="4" spans="1:8">
      <c r="A4" s="6" t="s">
        <v>6</v>
      </c>
      <c r="B4" s="12">
        <v>682</v>
      </c>
      <c r="C4" s="9"/>
      <c r="D4" s="3">
        <f t="shared" ref="D4:D47" si="3">D3+1</f>
        <v>-7</v>
      </c>
      <c r="E4" s="4">
        <f t="shared" si="0"/>
        <v>58.408207057159416</v>
      </c>
      <c r="F4" s="3">
        <f t="shared" si="1"/>
        <v>0.19599999999999987</v>
      </c>
      <c r="G4" s="10">
        <f t="shared" si="2"/>
        <v>7.3330176439421254E-24</v>
      </c>
      <c r="H4" s="1"/>
    </row>
    <row r="5" spans="1:8">
      <c r="A5" s="6" t="s">
        <v>5</v>
      </c>
      <c r="B5" s="11">
        <f>622/B4</f>
        <v>0.91202346041055715</v>
      </c>
      <c r="C5" s="9"/>
      <c r="D5" s="3">
        <f t="shared" si="3"/>
        <v>-6</v>
      </c>
      <c r="E5" s="4">
        <f t="shared" si="0"/>
        <v>47.009198473956175</v>
      </c>
      <c r="F5" s="3">
        <f t="shared" si="1"/>
        <v>0.19599999999999992</v>
      </c>
      <c r="G5" s="10">
        <f t="shared" si="2"/>
        <v>2.4003748281200399E-19</v>
      </c>
      <c r="H5" s="4"/>
    </row>
    <row r="6" spans="1:8">
      <c r="A6" s="5"/>
      <c r="B6" s="8"/>
      <c r="C6" s="8"/>
      <c r="D6" s="3">
        <f t="shared" si="3"/>
        <v>-5</v>
      </c>
      <c r="E6" s="4">
        <f t="shared" si="0"/>
        <v>37.844395573060766</v>
      </c>
      <c r="F6" s="3">
        <f t="shared" si="1"/>
        <v>0.19599999999999998</v>
      </c>
      <c r="G6" s="10">
        <f t="shared" si="2"/>
        <v>1.0240852624084771E-15</v>
      </c>
    </row>
    <row r="7" spans="1:8">
      <c r="A7" s="5"/>
      <c r="B7" s="8"/>
      <c r="C7" s="8"/>
      <c r="D7" s="3">
        <f t="shared" si="3"/>
        <v>-4</v>
      </c>
      <c r="E7" s="4">
        <f t="shared" si="0"/>
        <v>30.475894040740858</v>
      </c>
      <c r="F7" s="3">
        <f t="shared" si="1"/>
        <v>0.19599999999999992</v>
      </c>
      <c r="G7" s="10">
        <f t="shared" si="2"/>
        <v>8.4898884969554113E-13</v>
      </c>
    </row>
    <row r="8" spans="1:8">
      <c r="A8" s="5"/>
      <c r="B8" s="8"/>
      <c r="C8" s="8"/>
      <c r="D8" s="3">
        <f t="shared" si="3"/>
        <v>-3</v>
      </c>
      <c r="E8" s="4">
        <f t="shared" si="0"/>
        <v>24.551618808755652</v>
      </c>
      <c r="F8" s="3">
        <f t="shared" si="1"/>
        <v>0.19599999999999992</v>
      </c>
      <c r="G8" s="10">
        <f t="shared" si="2"/>
        <v>1.8855104599947477E-10</v>
      </c>
    </row>
    <row r="9" spans="1:8">
      <c r="A9" s="5"/>
      <c r="B9" s="8"/>
      <c r="C9" s="8"/>
      <c r="D9" s="3">
        <f t="shared" si="3"/>
        <v>-2</v>
      </c>
      <c r="E9" s="4">
        <f t="shared" si="0"/>
        <v>19.788501522239546</v>
      </c>
      <c r="F9" s="3">
        <f t="shared" si="1"/>
        <v>0.19599999999999992</v>
      </c>
      <c r="G9" s="10">
        <f t="shared" si="2"/>
        <v>1.452234070951622E-8</v>
      </c>
    </row>
    <row r="10" spans="1:8">
      <c r="A10" s="5"/>
      <c r="B10" s="8"/>
      <c r="C10" s="8"/>
      <c r="D10" s="3">
        <f t="shared" si="3"/>
        <v>-1</v>
      </c>
      <c r="E10" s="4">
        <f t="shared" si="0"/>
        <v>15.958955223880597</v>
      </c>
      <c r="F10" s="3">
        <f t="shared" si="1"/>
        <v>0.1959999999999999</v>
      </c>
      <c r="G10" s="10">
        <f t="shared" si="2"/>
        <v>4.7738546588373221E-7</v>
      </c>
    </row>
    <row r="11" spans="1:8">
      <c r="A11" s="5"/>
      <c r="B11" s="8"/>
      <c r="C11" s="8"/>
      <c r="D11" s="3">
        <f t="shared" si="3"/>
        <v>0</v>
      </c>
      <c r="E11" s="4">
        <f t="shared" si="0"/>
        <v>12.88</v>
      </c>
      <c r="F11" s="3">
        <f t="shared" si="1"/>
        <v>0.19599999999999995</v>
      </c>
      <c r="G11" s="10">
        <f t="shared" si="2"/>
        <v>7.9141190663376566E-6</v>
      </c>
    </row>
    <row r="12" spans="1:8">
      <c r="A12" s="5"/>
      <c r="B12" s="8"/>
      <c r="C12" s="8"/>
      <c r="D12" s="3">
        <f t="shared" si="3"/>
        <v>1</v>
      </c>
      <c r="E12" s="4">
        <f t="shared" si="0"/>
        <v>10.404520000000002</v>
      </c>
      <c r="F12" s="3">
        <f t="shared" si="1"/>
        <v>0.19599999999999992</v>
      </c>
      <c r="G12" s="10">
        <f t="shared" si="2"/>
        <v>7.56671581111657E-5</v>
      </c>
    </row>
    <row r="13" spans="1:8">
      <c r="A13" s="5"/>
      <c r="B13" s="8"/>
      <c r="C13" s="8"/>
      <c r="D13" s="3">
        <f t="shared" si="3"/>
        <v>2</v>
      </c>
      <c r="E13" s="2">
        <f t="shared" si="0"/>
        <v>8.4142340800000017</v>
      </c>
      <c r="F13" s="3">
        <f t="shared" si="1"/>
        <v>0.19599999999999995</v>
      </c>
      <c r="G13" s="10">
        <f t="shared" si="2"/>
        <v>4.6476489501918534E-4</v>
      </c>
    </row>
    <row r="14" spans="1:8">
      <c r="A14" s="5"/>
      <c r="B14" s="8"/>
      <c r="C14" s="8"/>
      <c r="D14" s="3">
        <f t="shared" si="3"/>
        <v>3</v>
      </c>
      <c r="E14" s="2">
        <f t="shared" si="0"/>
        <v>6.8140442003200015</v>
      </c>
      <c r="F14" s="3">
        <f t="shared" si="1"/>
        <v>0.19599999999999998</v>
      </c>
      <c r="G14" s="10">
        <f t="shared" si="2"/>
        <v>2.0000798565059361E-3</v>
      </c>
    </row>
    <row r="15" spans="1:8">
      <c r="A15" s="5"/>
      <c r="B15" s="8"/>
      <c r="C15" s="8"/>
      <c r="D15" s="3">
        <f t="shared" si="3"/>
        <v>4</v>
      </c>
      <c r="E15" s="2">
        <f t="shared" si="0"/>
        <v>5.5274915370572817</v>
      </c>
      <c r="F15" s="3">
        <f t="shared" si="1"/>
        <v>0.19599999999999992</v>
      </c>
      <c r="G15" s="10">
        <f t="shared" si="2"/>
        <v>6.4659718125809236E-3</v>
      </c>
    </row>
    <row r="16" spans="1:8">
      <c r="A16" s="5"/>
      <c r="B16" s="8"/>
      <c r="C16" s="8"/>
      <c r="D16" s="3">
        <f t="shared" si="3"/>
        <v>5</v>
      </c>
      <c r="E16" s="2">
        <f t="shared" si="0"/>
        <v>4.4931031957940544</v>
      </c>
      <c r="F16" s="3">
        <f t="shared" si="1"/>
        <v>0.19600000000000001</v>
      </c>
      <c r="G16" s="10">
        <f t="shared" si="2"/>
        <v>1.6608917573980281E-2</v>
      </c>
    </row>
    <row r="17" spans="1:7">
      <c r="A17" s="5"/>
      <c r="B17" s="8"/>
      <c r="C17" s="8"/>
      <c r="D17" s="3">
        <f t="shared" si="3"/>
        <v>6</v>
      </c>
      <c r="E17" s="2">
        <f t="shared" si="0"/>
        <v>3.6614549694184197</v>
      </c>
      <c r="F17" s="3">
        <f t="shared" si="1"/>
        <v>0.19599999999999998</v>
      </c>
      <c r="G17" s="10">
        <f t="shared" si="2"/>
        <v>3.546060803746625E-2</v>
      </c>
    </row>
    <row r="18" spans="1:7">
      <c r="A18" s="5"/>
      <c r="B18" s="8"/>
      <c r="C18" s="8"/>
      <c r="D18" s="3">
        <f t="shared" si="3"/>
        <v>7</v>
      </c>
      <c r="E18" s="2">
        <f t="shared" si="0"/>
        <v>2.9928097954124095</v>
      </c>
      <c r="F18" s="3">
        <f t="shared" si="1"/>
        <v>0.19599999999999998</v>
      </c>
      <c r="G18" s="10">
        <f t="shared" si="2"/>
        <v>6.5251075773657505E-2</v>
      </c>
    </row>
    <row r="19" spans="1:7">
      <c r="A19" s="5"/>
      <c r="B19" s="8"/>
      <c r="C19" s="8"/>
      <c r="D19" s="3">
        <f t="shared" si="3"/>
        <v>8</v>
      </c>
      <c r="E19" s="2">
        <f t="shared" si="0"/>
        <v>2.4552190755115775</v>
      </c>
      <c r="F19" s="3">
        <f t="shared" si="1"/>
        <v>0.19599999999999992</v>
      </c>
      <c r="G19" s="10">
        <f t="shared" si="2"/>
        <v>0.10654185170038399</v>
      </c>
    </row>
    <row r="20" spans="1:7">
      <c r="A20" s="5"/>
      <c r="B20" s="8"/>
      <c r="C20" s="8"/>
      <c r="D20" s="3">
        <f t="shared" si="3"/>
        <v>9</v>
      </c>
      <c r="E20" s="2">
        <f t="shared" si="0"/>
        <v>2.0229961367113081</v>
      </c>
      <c r="F20" s="3">
        <f t="shared" si="1"/>
        <v>0.19600000000000009</v>
      </c>
      <c r="G20" s="10">
        <f t="shared" si="2"/>
        <v>0.1580221703701308</v>
      </c>
    </row>
    <row r="21" spans="1:7">
      <c r="A21" s="5"/>
      <c r="B21" s="8"/>
      <c r="C21" s="8"/>
      <c r="D21" s="3">
        <f t="shared" si="3"/>
        <v>10</v>
      </c>
      <c r="E21" s="2">
        <f t="shared" si="0"/>
        <v>1.6754888939158918</v>
      </c>
      <c r="F21" s="3">
        <f t="shared" si="1"/>
        <v>0.19599999999999992</v>
      </c>
      <c r="G21" s="10">
        <f t="shared" si="2"/>
        <v>0.21695069160063618</v>
      </c>
    </row>
    <row r="22" spans="1:7">
      <c r="A22" s="5"/>
      <c r="B22" s="8"/>
      <c r="C22" s="8"/>
      <c r="D22" s="3">
        <f t="shared" si="3"/>
        <v>11</v>
      </c>
      <c r="E22" s="2">
        <f t="shared" si="0"/>
        <v>1.3960930707083772</v>
      </c>
      <c r="F22" s="3">
        <f t="shared" si="1"/>
        <v>0.1959999999999999</v>
      </c>
      <c r="G22" s="10">
        <f t="shared" si="2"/>
        <v>0.27991490480818504</v>
      </c>
    </row>
    <row r="23" spans="1:7">
      <c r="A23" s="5"/>
      <c r="B23" s="8"/>
      <c r="C23" s="8"/>
      <c r="D23" s="3">
        <f t="shared" si="3"/>
        <v>12</v>
      </c>
      <c r="E23" s="2">
        <f t="shared" si="0"/>
        <v>1.1714588288495353</v>
      </c>
      <c r="F23" s="3">
        <f t="shared" si="1"/>
        <v>0.19599999999999992</v>
      </c>
      <c r="G23" s="10">
        <f t="shared" si="2"/>
        <v>0.34355847984252696</v>
      </c>
    </row>
    <row r="24" spans="1:7">
      <c r="A24" s="5"/>
      <c r="B24" s="8"/>
      <c r="C24" s="8"/>
      <c r="D24" s="3">
        <f t="shared" si="3"/>
        <v>13</v>
      </c>
      <c r="E24" s="2">
        <f t="shared" si="0"/>
        <v>0.99085289839502644</v>
      </c>
      <c r="F24" s="3">
        <f t="shared" ref="F24:F32" si="4">(E23-E24)/(E23-$B$2)</f>
        <v>0.19599999999999998</v>
      </c>
      <c r="G24" s="10">
        <f t="shared" si="2"/>
        <v>0.40507579179399422</v>
      </c>
    </row>
    <row r="25" spans="1:7">
      <c r="A25" s="5"/>
      <c r="B25" s="8"/>
      <c r="C25" s="8"/>
      <c r="D25" s="3">
        <f t="shared" si="3"/>
        <v>14</v>
      </c>
      <c r="E25" s="2">
        <f t="shared" si="0"/>
        <v>0.84564573030960133</v>
      </c>
      <c r="F25" s="3">
        <f t="shared" si="4"/>
        <v>0.1959999999999999</v>
      </c>
      <c r="G25" s="10">
        <f t="shared" si="2"/>
        <v>0.46243524379975909</v>
      </c>
    </row>
    <row r="26" spans="1:7">
      <c r="A26" s="5"/>
      <c r="B26" s="8"/>
      <c r="C26" s="8"/>
      <c r="D26" s="3">
        <f t="shared" si="3"/>
        <v>15</v>
      </c>
      <c r="E26" s="2">
        <f t="shared" si="0"/>
        <v>0.72889916716891956</v>
      </c>
      <c r="F26" s="3">
        <f t="shared" si="4"/>
        <v>0.19599999999999984</v>
      </c>
      <c r="G26" s="10">
        <f t="shared" si="2"/>
        <v>0.51439020865737406</v>
      </c>
    </row>
    <row r="27" spans="1:7">
      <c r="A27" s="5"/>
      <c r="B27" s="8"/>
      <c r="C27" s="8"/>
      <c r="D27" s="3">
        <f t="shared" si="3"/>
        <v>16</v>
      </c>
      <c r="E27" s="2">
        <f t="shared" si="0"/>
        <v>0.63503493040381143</v>
      </c>
      <c r="F27" s="3">
        <f t="shared" si="4"/>
        <v>0.19599999999999979</v>
      </c>
      <c r="G27" s="10">
        <f t="shared" si="2"/>
        <v>0.56036509366515797</v>
      </c>
    </row>
    <row r="28" spans="1:7">
      <c r="A28" s="5"/>
      <c r="B28" s="8"/>
      <c r="C28" s="8"/>
      <c r="D28" s="3">
        <f t="shared" si="3"/>
        <v>17</v>
      </c>
      <c r="E28" s="2">
        <f t="shared" si="0"/>
        <v>0.5595680840446644</v>
      </c>
      <c r="F28" s="3">
        <f t="shared" si="4"/>
        <v>0.19599999999999995</v>
      </c>
      <c r="G28" s="10">
        <f t="shared" si="2"/>
        <v>0.6002919130401575</v>
      </c>
    </row>
    <row r="29" spans="1:7">
      <c r="A29" s="5"/>
      <c r="B29" s="8"/>
      <c r="C29" s="8"/>
      <c r="D29" s="3">
        <f t="shared" si="3"/>
        <v>18</v>
      </c>
      <c r="E29" s="2">
        <f t="shared" si="0"/>
        <v>0.49889273957191016</v>
      </c>
      <c r="F29" s="3">
        <f t="shared" si="4"/>
        <v>0.19600000000000006</v>
      </c>
      <c r="G29" s="10">
        <f t="shared" si="2"/>
        <v>0.63444677346269485</v>
      </c>
    </row>
    <row r="30" spans="1:7">
      <c r="A30" s="5"/>
      <c r="B30" s="8"/>
      <c r="C30" s="8"/>
      <c r="D30" s="3">
        <f t="shared" si="3"/>
        <v>19</v>
      </c>
      <c r="E30" s="2">
        <f t="shared" si="0"/>
        <v>0.45010976261581581</v>
      </c>
      <c r="F30" s="3">
        <f t="shared" si="4"/>
        <v>0.19599999999999981</v>
      </c>
      <c r="G30" s="10">
        <f t="shared" si="2"/>
        <v>0.6633114348500907</v>
      </c>
    </row>
    <row r="31" spans="1:7">
      <c r="A31" s="5"/>
      <c r="B31" s="8"/>
      <c r="C31" s="8"/>
      <c r="D31" s="3">
        <f t="shared" si="3"/>
        <v>20</v>
      </c>
      <c r="E31" s="2">
        <f t="shared" si="0"/>
        <v>0.41088824914311595</v>
      </c>
      <c r="F31" s="3">
        <f t="shared" si="4"/>
        <v>0.19599999999999984</v>
      </c>
      <c r="G31" s="10">
        <f t="shared" si="2"/>
        <v>0.68746818778444641</v>
      </c>
    </row>
    <row r="32" spans="1:7">
      <c r="A32" s="5"/>
      <c r="B32" s="8"/>
      <c r="C32" s="8"/>
      <c r="D32" s="3">
        <f t="shared" si="3"/>
        <v>21</v>
      </c>
      <c r="E32" s="2">
        <f t="shared" si="0"/>
        <v>0.37935415231106523</v>
      </c>
      <c r="F32" s="3">
        <f t="shared" si="4"/>
        <v>0.19599999999999995</v>
      </c>
      <c r="G32" s="10">
        <f t="shared" si="2"/>
        <v>0.70752671765213471</v>
      </c>
    </row>
    <row r="33" spans="1:7">
      <c r="A33" s="5"/>
      <c r="B33" s="8"/>
      <c r="C33" s="8"/>
      <c r="D33" s="3">
        <f t="shared" si="3"/>
        <v>22</v>
      </c>
      <c r="E33" s="2">
        <f t="shared" si="0"/>
        <v>0.35400073845809643</v>
      </c>
      <c r="F33" s="3">
        <f>(E32-E33)/(E32-$B$2)</f>
        <v>0.19600000000000009</v>
      </c>
      <c r="G33" s="10">
        <f t="shared" si="2"/>
        <v>0.72407740561643263</v>
      </c>
    </row>
    <row r="34" spans="1:7">
      <c r="A34" s="5"/>
      <c r="B34" s="8"/>
      <c r="C34" s="8"/>
      <c r="D34" s="3">
        <f t="shared" si="3"/>
        <v>23</v>
      </c>
      <c r="E34" s="2">
        <f t="shared" si="0"/>
        <v>0.33361659372030955</v>
      </c>
      <c r="F34" s="3">
        <f>(E33-E34)/(E33-$B$2)</f>
        <v>0.19599999999999981</v>
      </c>
      <c r="G34" s="10">
        <f t="shared" si="2"/>
        <v>0.73766450334727562</v>
      </c>
    </row>
    <row r="35" spans="1:7">
      <c r="A35" s="5"/>
      <c r="B35" s="8"/>
      <c r="C35" s="8"/>
      <c r="D35" s="3">
        <f t="shared" si="3"/>
        <v>24</v>
      </c>
      <c r="E35" s="2">
        <f t="shared" si="0"/>
        <v>0.31722774135112886</v>
      </c>
      <c r="F35" s="3">
        <f t="shared" ref="F35:F47" si="5">(E34-E35)/(E34-$B$2)</f>
        <v>0.19600000000000029</v>
      </c>
      <c r="G35" s="10">
        <f t="shared" si="2"/>
        <v>0.74877320198594299</v>
      </c>
    </row>
    <row r="36" spans="1:7">
      <c r="A36" s="5"/>
      <c r="B36" s="8"/>
      <c r="C36" s="8"/>
      <c r="D36" s="3">
        <f t="shared" si="3"/>
        <v>25</v>
      </c>
      <c r="E36" s="2">
        <f t="shared" si="0"/>
        <v>0.30405110404630759</v>
      </c>
      <c r="F36" s="3">
        <f t="shared" si="5"/>
        <v>0.19600000000000023</v>
      </c>
      <c r="G36" s="10">
        <f t="shared" si="2"/>
        <v>0.75782579621148871</v>
      </c>
    </row>
    <row r="37" spans="1:7">
      <c r="A37" s="5"/>
      <c r="B37" s="8"/>
      <c r="C37" s="8"/>
      <c r="D37" s="3">
        <f t="shared" si="3"/>
        <v>26</v>
      </c>
      <c r="E37" s="2">
        <f t="shared" si="0"/>
        <v>0.29345708765323131</v>
      </c>
      <c r="F37" s="3">
        <f t="shared" si="5"/>
        <v>0.19599999999999984</v>
      </c>
      <c r="G37" s="10">
        <f t="shared" si="2"/>
        <v>0.76518338987103973</v>
      </c>
    </row>
    <row r="38" spans="1:7">
      <c r="A38" s="5"/>
      <c r="B38" s="8"/>
      <c r="C38" s="8"/>
      <c r="D38" s="3">
        <f t="shared" si="3"/>
        <v>27</v>
      </c>
      <c r="E38" s="2">
        <f t="shared" si="0"/>
        <v>0.28493949847319799</v>
      </c>
      <c r="F38" s="3">
        <f t="shared" si="5"/>
        <v>0.19599999999999948</v>
      </c>
      <c r="G38" s="10">
        <f t="shared" si="2"/>
        <v>0.77115066658800757</v>
      </c>
    </row>
    <row r="39" spans="1:7">
      <c r="A39" s="5"/>
      <c r="B39" s="8"/>
      <c r="C39" s="8"/>
      <c r="D39" s="3">
        <f t="shared" si="3"/>
        <v>28</v>
      </c>
      <c r="E39" s="2">
        <f t="shared" si="0"/>
        <v>0.27809135677245117</v>
      </c>
      <c r="F39" s="3">
        <f t="shared" si="5"/>
        <v>0.19600000000000048</v>
      </c>
      <c r="G39" s="10">
        <f t="shared" si="2"/>
        <v>0.77598208801992086</v>
      </c>
    </row>
    <row r="40" spans="1:7">
      <c r="A40" s="5"/>
      <c r="B40" s="8"/>
      <c r="C40" s="8"/>
      <c r="D40" s="3">
        <f t="shared" si="3"/>
        <v>29</v>
      </c>
      <c r="E40" s="2">
        <f t="shared" si="0"/>
        <v>0.27258545084505076</v>
      </c>
      <c r="F40" s="3">
        <f t="shared" si="5"/>
        <v>0.19599999999999937</v>
      </c>
      <c r="G40" s="10">
        <f t="shared" si="2"/>
        <v>0.77988849383678693</v>
      </c>
    </row>
    <row r="41" spans="1:7">
      <c r="A41" s="5"/>
      <c r="B41" s="8"/>
      <c r="C41" s="8"/>
      <c r="D41" s="3">
        <f t="shared" si="3"/>
        <v>30</v>
      </c>
      <c r="E41" s="2">
        <f t="shared" si="0"/>
        <v>0.26815870247942081</v>
      </c>
      <c r="F41" s="3">
        <f t="shared" si="5"/>
        <v>0.19600000000000012</v>
      </c>
      <c r="G41" s="10">
        <f t="shared" si="2"/>
        <v>0.78304350094313258</v>
      </c>
    </row>
    <row r="42" spans="1:7">
      <c r="A42" s="5"/>
      <c r="B42" s="8"/>
      <c r="C42" s="8"/>
      <c r="D42" s="3">
        <f t="shared" si="3"/>
        <v>31</v>
      </c>
      <c r="E42" s="2">
        <f t="shared" si="0"/>
        <v>0.26459959679345435</v>
      </c>
      <c r="F42" s="3">
        <f t="shared" si="5"/>
        <v>0.19599999999999884</v>
      </c>
      <c r="G42" s="10">
        <f t="shared" si="2"/>
        <v>0.78558938037110371</v>
      </c>
    </row>
    <row r="43" spans="1:7">
      <c r="A43" s="5"/>
      <c r="B43" s="8"/>
      <c r="C43" s="8"/>
      <c r="D43" s="3">
        <f t="shared" si="3"/>
        <v>32</v>
      </c>
      <c r="E43" s="2">
        <f t="shared" si="0"/>
        <v>0.26173807582193731</v>
      </c>
      <c r="F43" s="3">
        <f t="shared" si="5"/>
        <v>0.19599999999999912</v>
      </c>
      <c r="G43" s="10">
        <f t="shared" si="2"/>
        <v>0.78764226893642653</v>
      </c>
    </row>
    <row r="44" spans="1:7">
      <c r="A44" s="5"/>
      <c r="B44" s="8"/>
      <c r="C44" s="8"/>
      <c r="D44" s="3">
        <f t="shared" si="3"/>
        <v>33</v>
      </c>
      <c r="E44" s="2">
        <f t="shared" si="0"/>
        <v>0.25943741296083761</v>
      </c>
      <c r="F44" s="3">
        <f t="shared" si="5"/>
        <v>0.19599999999999895</v>
      </c>
      <c r="G44" s="10">
        <f t="shared" si="2"/>
        <v>0.78929668111040707</v>
      </c>
    </row>
    <row r="45" spans="1:7">
      <c r="A45" s="5"/>
      <c r="B45" s="8"/>
      <c r="C45" s="8"/>
      <c r="D45" s="3">
        <f t="shared" si="3"/>
        <v>34</v>
      </c>
      <c r="E45" s="2">
        <f t="shared" si="0"/>
        <v>0.25758768002051347</v>
      </c>
      <c r="F45" s="3">
        <f t="shared" si="5"/>
        <v>0.19599999999999715</v>
      </c>
      <c r="G45" s="10">
        <f t="shared" si="2"/>
        <v>0.79062934827142106</v>
      </c>
    </row>
    <row r="46" spans="1:7">
      <c r="A46" s="5"/>
      <c r="B46" s="8"/>
      <c r="C46" s="8"/>
      <c r="D46" s="3">
        <f t="shared" si="3"/>
        <v>35</v>
      </c>
      <c r="E46" s="2">
        <f t="shared" si="0"/>
        <v>0.25610049473649282</v>
      </c>
      <c r="F46" s="3">
        <f t="shared" si="5"/>
        <v>0.1960000000000004</v>
      </c>
      <c r="G46" s="10">
        <f t="shared" si="2"/>
        <v>0.79170244428435366</v>
      </c>
    </row>
    <row r="47" spans="1:7">
      <c r="A47" s="5"/>
      <c r="B47" s="8"/>
      <c r="C47" s="8"/>
      <c r="D47" s="3">
        <f t="shared" si="3"/>
        <v>36</v>
      </c>
      <c r="E47" s="2">
        <f t="shared" si="0"/>
        <v>0.25490479776814023</v>
      </c>
      <c r="F47" s="3">
        <f t="shared" si="5"/>
        <v>0.19599999999999923</v>
      </c>
      <c r="G47" s="10">
        <f t="shared" si="2"/>
        <v>0.79256626963535881</v>
      </c>
    </row>
    <row r="48" spans="1:7">
      <c r="A48" s="5"/>
      <c r="B48" s="8"/>
      <c r="C48" s="8"/>
      <c r="D48" s="3"/>
      <c r="E48" s="4"/>
      <c r="F48" s="3"/>
      <c r="G48" s="10"/>
    </row>
    <row r="49" spans="1:7">
      <c r="A49" s="5"/>
      <c r="B49" s="8"/>
      <c r="C49" s="8"/>
      <c r="D49" s="2"/>
      <c r="E49" s="2"/>
      <c r="F49" s="2"/>
      <c r="G49" s="2"/>
    </row>
    <row r="50" spans="1:7">
      <c r="A50" s="5"/>
      <c r="B50" s="8"/>
      <c r="C50" s="8"/>
      <c r="D50" s="2"/>
      <c r="E50" s="2"/>
      <c r="F50" s="2"/>
      <c r="G50" s="2"/>
    </row>
    <row r="51" spans="1:7">
      <c r="A51" s="5"/>
      <c r="B51" s="8"/>
      <c r="C51" s="8"/>
      <c r="D51" s="2"/>
      <c r="E51" s="2"/>
      <c r="F51" s="2"/>
      <c r="G51" s="2"/>
    </row>
    <row r="52" spans="1:7">
      <c r="A52" s="5"/>
      <c r="B52" s="8"/>
      <c r="C52" s="8"/>
      <c r="D52" s="2"/>
      <c r="E52" s="2"/>
      <c r="F52" s="2"/>
      <c r="G52" s="2"/>
    </row>
    <row r="53" spans="1:7">
      <c r="A53" s="5"/>
      <c r="B53" s="8"/>
      <c r="C53" s="8"/>
      <c r="D53" s="2"/>
      <c r="E53" s="2"/>
      <c r="F53" s="2"/>
      <c r="G53" s="2"/>
    </row>
    <row r="54" spans="1:7">
      <c r="A54" s="5"/>
      <c r="B54" s="8"/>
      <c r="C54" s="8"/>
      <c r="D54" s="2"/>
      <c r="E54" s="2"/>
      <c r="F54" s="2"/>
      <c r="G54" s="2"/>
    </row>
    <row r="55" spans="1:7">
      <c r="A55" s="5"/>
      <c r="B55" s="8"/>
      <c r="C55" s="8"/>
      <c r="D55" s="2"/>
      <c r="E55" s="2"/>
      <c r="F55" s="2"/>
      <c r="G55" s="2"/>
    </row>
    <row r="56" spans="1:7">
      <c r="A56" s="5"/>
      <c r="B56" s="8"/>
      <c r="C56" s="8"/>
      <c r="D56" s="2"/>
      <c r="E56" s="2"/>
      <c r="F56" s="2"/>
      <c r="G56" s="2"/>
    </row>
    <row r="57" spans="1:7">
      <c r="A57" s="5"/>
      <c r="B57" s="8"/>
      <c r="C57" s="8"/>
      <c r="D57" s="2"/>
      <c r="E57" s="2"/>
      <c r="F57" s="2"/>
      <c r="G57" s="2"/>
    </row>
    <row r="58" spans="1:7">
      <c r="A58" s="5"/>
      <c r="B58" s="8"/>
      <c r="C58" s="8"/>
      <c r="D58" s="2"/>
      <c r="E58" s="2"/>
      <c r="F58" s="2"/>
      <c r="G58" s="2"/>
    </row>
    <row r="59" spans="1:7">
      <c r="A59" s="5"/>
      <c r="B59" s="8"/>
      <c r="C59" s="8"/>
      <c r="D59" s="2"/>
      <c r="E59" s="2"/>
      <c r="F59" s="2"/>
      <c r="G59" s="2"/>
    </row>
    <row r="60" spans="1:7">
      <c r="A60" s="5"/>
      <c r="B60" s="8"/>
      <c r="C60" s="8"/>
      <c r="D60" s="2"/>
      <c r="E60" s="2"/>
      <c r="F60" s="2"/>
      <c r="G60" s="2"/>
    </row>
    <row r="61" spans="1:7">
      <c r="A61" s="5"/>
      <c r="B61" s="8"/>
      <c r="C61" s="8"/>
      <c r="D61" s="2"/>
      <c r="E61" s="2"/>
      <c r="F61" s="2"/>
      <c r="G61" s="2"/>
    </row>
    <row r="62" spans="1:7">
      <c r="A62" s="5"/>
      <c r="B62" s="8"/>
      <c r="C62" s="8"/>
      <c r="D62" s="2"/>
      <c r="E62" s="2"/>
      <c r="F62" s="2"/>
      <c r="G62" s="2"/>
    </row>
    <row r="63" spans="1:7">
      <c r="A63" s="5"/>
      <c r="B63" s="8"/>
      <c r="C63" s="8"/>
      <c r="D63" s="2"/>
      <c r="E63" s="2"/>
      <c r="F63" s="2"/>
      <c r="G63" s="2"/>
    </row>
    <row r="64" spans="1:7">
      <c r="A64" s="5"/>
      <c r="B64" s="8"/>
      <c r="C64" s="8"/>
      <c r="D64" s="2"/>
      <c r="E64" s="2"/>
      <c r="F64" s="2"/>
      <c r="G64" s="2"/>
    </row>
    <row r="65" spans="1:7">
      <c r="A65" s="5"/>
      <c r="B65" s="8"/>
      <c r="C65" s="8"/>
      <c r="D65" s="2"/>
      <c r="E65" s="2"/>
      <c r="F65" s="2"/>
      <c r="G65" s="2"/>
    </row>
    <row r="66" spans="1:7">
      <c r="A66" s="5"/>
      <c r="B66" s="8"/>
      <c r="C66" s="8"/>
      <c r="D66" s="2"/>
      <c r="E66" s="2"/>
      <c r="F66" s="2"/>
      <c r="G66" s="2"/>
    </row>
    <row r="67" spans="1:7">
      <c r="A67" s="5"/>
      <c r="B67" s="8"/>
      <c r="C67" s="8"/>
      <c r="D67" s="2"/>
      <c r="E67" s="2"/>
      <c r="F67" s="2"/>
      <c r="G67" s="2"/>
    </row>
    <row r="68" spans="1:7">
      <c r="A68" s="5"/>
      <c r="B68" s="8"/>
      <c r="C68" s="8"/>
      <c r="D68" s="2"/>
      <c r="E68" s="2"/>
      <c r="F68" s="2"/>
      <c r="G68" s="2"/>
    </row>
    <row r="69" spans="1:7">
      <c r="A69" s="5"/>
      <c r="B69" s="8"/>
      <c r="C69" s="8"/>
      <c r="D69" s="2"/>
      <c r="E69" s="2"/>
      <c r="F69" s="2"/>
      <c r="G69" s="2"/>
    </row>
    <row r="70" spans="1:7">
      <c r="A70" s="5"/>
      <c r="B70" s="8"/>
      <c r="C70" s="8"/>
      <c r="D70" s="2"/>
      <c r="E70" s="2"/>
      <c r="F70" s="2"/>
      <c r="G70" s="2"/>
    </row>
    <row r="71" spans="1:7">
      <c r="A71" s="5"/>
      <c r="B71" s="8"/>
      <c r="C71" s="8"/>
      <c r="D71" s="2"/>
      <c r="E71" s="2"/>
      <c r="F71" s="2"/>
      <c r="G71" s="2"/>
    </row>
    <row r="72" spans="1:7">
      <c r="A72" s="5"/>
      <c r="B72" s="8"/>
      <c r="C72" s="8"/>
      <c r="D72" s="2"/>
      <c r="E72" s="2"/>
      <c r="F72" s="2"/>
      <c r="G72" s="2"/>
    </row>
    <row r="73" spans="1:7">
      <c r="A73" s="5"/>
      <c r="B73" s="8"/>
      <c r="C73" s="8"/>
      <c r="D73" s="2"/>
      <c r="E73" s="2"/>
      <c r="F73" s="2"/>
      <c r="G73" s="2"/>
    </row>
    <row r="74" spans="1:7">
      <c r="A74" s="5"/>
      <c r="B74" s="8"/>
      <c r="C74" s="8"/>
      <c r="D74" s="2"/>
      <c r="E74" s="2"/>
      <c r="F74" s="2"/>
      <c r="G74" s="2"/>
    </row>
    <row r="75" spans="1:7">
      <c r="A75" s="5"/>
      <c r="B75" s="8"/>
      <c r="C75" s="8"/>
      <c r="D75" s="2"/>
      <c r="E75" s="2"/>
      <c r="F75" s="2"/>
      <c r="G75" s="2"/>
    </row>
    <row r="76" spans="1:7">
      <c r="A76" s="5"/>
      <c r="B76" s="8"/>
      <c r="C76" s="8"/>
      <c r="D76" s="2"/>
      <c r="E76" s="2"/>
      <c r="F76" s="2"/>
      <c r="G76" s="2"/>
    </row>
    <row r="77" spans="1:7">
      <c r="A77" s="5"/>
      <c r="B77" s="8"/>
      <c r="C77" s="8"/>
      <c r="D77" s="2"/>
      <c r="E77" s="2"/>
      <c r="F77" s="2"/>
      <c r="G77" s="2"/>
    </row>
    <row r="78" spans="1:7">
      <c r="A78" s="5"/>
      <c r="B78" s="8"/>
      <c r="C78" s="8"/>
      <c r="D78" s="2"/>
      <c r="E78" s="2"/>
      <c r="F78" s="2"/>
      <c r="G78" s="2"/>
    </row>
    <row r="79" spans="1:7">
      <c r="A79" s="5"/>
      <c r="B79" s="8"/>
      <c r="C79" s="8"/>
      <c r="D79" s="2"/>
      <c r="E79" s="2"/>
      <c r="F79" s="2"/>
      <c r="G79" s="2"/>
    </row>
    <row r="80" spans="1:7">
      <c r="A80" s="5"/>
      <c r="B80" s="8"/>
      <c r="C80" s="8"/>
      <c r="D80" s="2"/>
      <c r="E80" s="2"/>
      <c r="F80" s="2"/>
      <c r="G80" s="2"/>
    </row>
    <row r="81" spans="1:7">
      <c r="A81" s="5"/>
      <c r="B81" s="8"/>
      <c r="C81" s="8"/>
      <c r="D81" s="2"/>
      <c r="E81" s="2"/>
      <c r="F81" s="2"/>
      <c r="G81" s="2"/>
    </row>
    <row r="82" spans="1:7">
      <c r="A82" s="5"/>
      <c r="B82" s="8"/>
      <c r="C82" s="8"/>
      <c r="D82" s="2"/>
      <c r="E82" s="2"/>
      <c r="F82" s="2"/>
      <c r="G82" s="2"/>
    </row>
    <row r="83" spans="1:7">
      <c r="A83" s="5"/>
      <c r="B83" s="8"/>
      <c r="C83" s="8"/>
      <c r="D83" s="2"/>
      <c r="E83" s="2"/>
      <c r="F83" s="2"/>
      <c r="G83" s="2"/>
    </row>
    <row r="84" spans="1:7">
      <c r="A84" s="5"/>
      <c r="B84" s="8"/>
      <c r="C84" s="8"/>
      <c r="D84" s="2"/>
      <c r="E84" s="2"/>
      <c r="F84" s="2"/>
      <c r="G84" s="2"/>
    </row>
    <row r="85" spans="1:7">
      <c r="A85" s="5"/>
      <c r="B85" s="8"/>
      <c r="C85" s="8"/>
      <c r="D85" s="2"/>
      <c r="E85" s="2"/>
      <c r="F85" s="2"/>
      <c r="G85" s="2"/>
    </row>
    <row r="86" spans="1:7">
      <c r="A86" s="5"/>
      <c r="B86" s="8"/>
      <c r="C86" s="8"/>
      <c r="D86" s="2"/>
      <c r="E86" s="2"/>
      <c r="F86" s="2"/>
      <c r="G86" s="2"/>
    </row>
    <row r="87" spans="1:7">
      <c r="A87" s="5"/>
      <c r="B87" s="8"/>
      <c r="C87" s="8"/>
      <c r="D87" s="2"/>
      <c r="E87" s="2"/>
      <c r="F87" s="2"/>
      <c r="G87" s="2"/>
    </row>
    <row r="88" spans="1:7">
      <c r="A88" s="5"/>
      <c r="B88" s="8"/>
      <c r="C88" s="8"/>
      <c r="D88" s="2"/>
      <c r="E88" s="2"/>
      <c r="F88" s="2"/>
      <c r="G88" s="2"/>
    </row>
    <row r="89" spans="1:7">
      <c r="A89" s="5"/>
      <c r="B89" s="8"/>
      <c r="C89" s="8"/>
      <c r="D89" s="2"/>
      <c r="E89" s="2"/>
      <c r="F89" s="2"/>
      <c r="G89" s="2"/>
    </row>
    <row r="90" spans="1:7">
      <c r="A90" s="5"/>
      <c r="B90" s="8"/>
      <c r="C90" s="8"/>
      <c r="D90" s="2"/>
      <c r="E90" s="2"/>
      <c r="F90" s="2"/>
      <c r="G90" s="2"/>
    </row>
    <row r="91" spans="1:7">
      <c r="A91" s="5"/>
      <c r="B91" s="8"/>
      <c r="C91" s="8"/>
      <c r="D91" s="2"/>
      <c r="E91" s="2"/>
      <c r="F91" s="2"/>
      <c r="G91" s="2"/>
    </row>
    <row r="92" spans="1:7">
      <c r="A92" s="5"/>
      <c r="B92" s="8"/>
      <c r="C92" s="8"/>
      <c r="D92" s="2"/>
      <c r="E92" s="2"/>
      <c r="F92" s="2"/>
      <c r="G92" s="2"/>
    </row>
    <row r="93" spans="1:7">
      <c r="A93" s="5"/>
      <c r="B93" s="8"/>
      <c r="C93" s="8"/>
      <c r="D93" s="2"/>
      <c r="E93" s="2"/>
      <c r="F93" s="2"/>
      <c r="G93" s="2"/>
    </row>
    <row r="94" spans="1:7">
      <c r="A94" s="5"/>
      <c r="B94" s="8"/>
      <c r="C94" s="8"/>
      <c r="D94" s="2"/>
      <c r="E94" s="2"/>
      <c r="F94" s="2"/>
      <c r="G94" s="2"/>
    </row>
    <row r="95" spans="1:7">
      <c r="A95" s="5"/>
      <c r="B95" s="8"/>
      <c r="C95" s="8"/>
      <c r="D95" s="2"/>
      <c r="E95" s="2"/>
      <c r="F95" s="2"/>
      <c r="G95" s="2"/>
    </row>
    <row r="96" spans="1:7">
      <c r="A96" s="5"/>
      <c r="B96" s="8"/>
      <c r="C96" s="8"/>
      <c r="D96" s="2"/>
      <c r="E96" s="2"/>
      <c r="F96" s="2"/>
      <c r="G96" s="2"/>
    </row>
    <row r="97" spans="1:7">
      <c r="A97" s="5"/>
      <c r="B97" s="8"/>
      <c r="C97" s="8"/>
      <c r="D97" s="2"/>
      <c r="E97" s="2"/>
      <c r="F97" s="2"/>
      <c r="G97" s="2"/>
    </row>
    <row r="98" spans="1:7">
      <c r="A98" s="5"/>
      <c r="B98" s="8"/>
      <c r="C98" s="8"/>
      <c r="D98" s="2"/>
      <c r="E98" s="2"/>
      <c r="F98" s="2"/>
      <c r="G98" s="2"/>
    </row>
    <row r="99" spans="1:7">
      <c r="A99" s="5"/>
      <c r="B99" s="8"/>
      <c r="C99" s="8"/>
      <c r="D99" s="2"/>
      <c r="E99" s="2"/>
      <c r="F99" s="2"/>
      <c r="G99" s="2"/>
    </row>
    <row r="100" spans="1:7">
      <c r="A100" s="5"/>
      <c r="B100" s="8"/>
      <c r="C100" s="8"/>
      <c r="D100" s="2"/>
      <c r="E100" s="2"/>
      <c r="F100" s="2"/>
      <c r="G100" s="2"/>
    </row>
    <row r="101" spans="1:7">
      <c r="A101" s="5"/>
      <c r="B101" s="8"/>
      <c r="C101" s="8"/>
      <c r="D101" s="2"/>
      <c r="E101" s="2"/>
      <c r="F101" s="2"/>
      <c r="G101" s="2"/>
    </row>
    <row r="102" spans="1:7">
      <c r="A102" s="5"/>
      <c r="B102" s="8"/>
      <c r="C102" s="8"/>
      <c r="D102" s="2"/>
      <c r="E102" s="2"/>
      <c r="F102" s="2"/>
      <c r="G102" s="2"/>
    </row>
    <row r="103" spans="1:7">
      <c r="A103" s="5"/>
      <c r="B103" s="8"/>
      <c r="C103" s="8"/>
      <c r="D103" s="2"/>
      <c r="E103" s="2"/>
      <c r="F103" s="2"/>
      <c r="G103" s="2"/>
    </row>
    <row r="104" spans="1:7">
      <c r="A104" s="5"/>
      <c r="B104" s="8"/>
      <c r="C104" s="8"/>
      <c r="D104" s="2"/>
      <c r="E104" s="2"/>
      <c r="F104" s="2"/>
      <c r="G104" s="2"/>
    </row>
    <row r="105" spans="1:7">
      <c r="A105" s="5"/>
      <c r="B105" s="8"/>
      <c r="C105" s="8"/>
      <c r="D105" s="2"/>
      <c r="E105" s="2"/>
      <c r="F105" s="2"/>
      <c r="G105" s="2"/>
    </row>
    <row r="106" spans="1:7">
      <c r="A106" s="5"/>
      <c r="B106" s="8"/>
      <c r="C106" s="8"/>
      <c r="D106" s="2"/>
      <c r="E106" s="2"/>
      <c r="F106" s="2"/>
      <c r="G106" s="2"/>
    </row>
    <row r="107" spans="1:7">
      <c r="A107" s="5"/>
      <c r="B107" s="8"/>
      <c r="C107" s="8"/>
      <c r="D107" s="2"/>
      <c r="E107" s="2"/>
      <c r="F107" s="2"/>
      <c r="G107" s="2"/>
    </row>
    <row r="108" spans="1:7">
      <c r="A108" s="5"/>
      <c r="B108" s="8"/>
      <c r="C108" s="8"/>
      <c r="D108" s="2"/>
      <c r="E108" s="2"/>
      <c r="F108" s="2"/>
      <c r="G108" s="2"/>
    </row>
    <row r="109" spans="1:7">
      <c r="A109" s="5"/>
      <c r="B109" s="8"/>
      <c r="C109" s="8"/>
      <c r="D109" s="2"/>
      <c r="E109" s="2"/>
      <c r="F109" s="2"/>
      <c r="G109" s="2"/>
    </row>
    <row r="110" spans="1:7">
      <c r="A110" s="5"/>
      <c r="B110" s="8"/>
      <c r="C110" s="8"/>
      <c r="D110" s="2"/>
      <c r="E110" s="2"/>
      <c r="F110" s="2"/>
      <c r="G110" s="2"/>
    </row>
    <row r="111" spans="1:7">
      <c r="A111" s="5"/>
      <c r="B111" s="8"/>
      <c r="C111" s="8"/>
      <c r="D111" s="2"/>
      <c r="E111" s="2"/>
      <c r="F111" s="2"/>
      <c r="G111" s="2"/>
    </row>
    <row r="112" spans="1:7">
      <c r="A112" s="5"/>
      <c r="B112" s="8"/>
      <c r="C112" s="8"/>
      <c r="D112" s="2"/>
      <c r="E112" s="2"/>
      <c r="F112" s="2"/>
      <c r="G112" s="2"/>
    </row>
    <row r="113" spans="1:7">
      <c r="A113" s="5"/>
      <c r="B113" s="8"/>
      <c r="C113" s="8"/>
      <c r="D113" s="2"/>
      <c r="E113" s="2"/>
      <c r="F113" s="2"/>
      <c r="G113" s="2"/>
    </row>
    <row r="114" spans="1:7">
      <c r="A114" s="5"/>
      <c r="B114" s="8"/>
      <c r="C114" s="8"/>
      <c r="D114" s="2"/>
      <c r="E114" s="2"/>
      <c r="F114" s="2"/>
      <c r="G114" s="2"/>
    </row>
    <row r="115" spans="1:7">
      <c r="A115" s="5"/>
      <c r="B115" s="8"/>
      <c r="C115" s="8"/>
      <c r="D115" s="2"/>
      <c r="E115" s="2"/>
      <c r="F115" s="2"/>
      <c r="G115" s="2"/>
    </row>
    <row r="116" spans="1:7">
      <c r="A116" s="5"/>
      <c r="B116" s="8"/>
      <c r="C116" s="8"/>
      <c r="D116" s="2"/>
      <c r="E116" s="2"/>
      <c r="F116" s="2"/>
      <c r="G116" s="2"/>
    </row>
    <row r="117" spans="1:7">
      <c r="A117" s="5"/>
      <c r="B117" s="8"/>
      <c r="C117" s="8"/>
      <c r="D117" s="2"/>
      <c r="E117" s="2"/>
      <c r="F117" s="2"/>
      <c r="G117" s="2"/>
    </row>
    <row r="118" spans="1:7">
      <c r="A118" s="5"/>
      <c r="B118" s="8"/>
      <c r="C118" s="8"/>
      <c r="D118" s="2"/>
      <c r="E118" s="2"/>
      <c r="F118" s="2"/>
      <c r="G118" s="2"/>
    </row>
    <row r="119" spans="1:7">
      <c r="A119" s="5"/>
      <c r="B119" s="8"/>
      <c r="C119" s="8"/>
      <c r="D119" s="2"/>
      <c r="E119" s="2"/>
      <c r="F119" s="2"/>
      <c r="G119" s="2"/>
    </row>
    <row r="120" spans="1:7">
      <c r="A120" s="5"/>
      <c r="B120" s="8"/>
      <c r="C120" s="8"/>
      <c r="D120" s="2"/>
      <c r="E120" s="2"/>
      <c r="F120" s="2"/>
      <c r="G120" s="2"/>
    </row>
    <row r="121" spans="1:7">
      <c r="A121" s="5"/>
      <c r="B121" s="8"/>
      <c r="C121" s="8"/>
      <c r="D121" s="2"/>
      <c r="E121" s="2"/>
      <c r="F121" s="2"/>
      <c r="G121" s="2"/>
    </row>
    <row r="122" spans="1:7">
      <c r="A122" s="5"/>
      <c r="B122" s="8"/>
      <c r="C122" s="8"/>
      <c r="D122" s="2"/>
      <c r="E122" s="2"/>
      <c r="F122" s="2"/>
      <c r="G122" s="2"/>
    </row>
    <row r="123" spans="1:7">
      <c r="A123" s="5"/>
      <c r="B123" s="8"/>
      <c r="C123" s="8"/>
      <c r="D123" s="2"/>
      <c r="E123" s="2"/>
      <c r="F123" s="2"/>
      <c r="G123" s="2"/>
    </row>
    <row r="124" spans="1:7">
      <c r="A124" s="5"/>
      <c r="B124" s="8"/>
      <c r="C124" s="8"/>
      <c r="D124" s="2"/>
      <c r="E124" s="2"/>
      <c r="F124" s="2"/>
      <c r="G124" s="2"/>
    </row>
    <row r="125" spans="1:7">
      <c r="A125" s="5"/>
      <c r="B125" s="8"/>
      <c r="C125" s="8"/>
      <c r="D125" s="2"/>
      <c r="E125" s="2"/>
      <c r="F125" s="2"/>
      <c r="G125" s="2"/>
    </row>
    <row r="126" spans="1:7">
      <c r="A126" s="5"/>
      <c r="B126" s="8"/>
      <c r="C126" s="8"/>
      <c r="D126" s="2"/>
      <c r="E126" s="2"/>
      <c r="F126" s="2"/>
      <c r="G126" s="2"/>
    </row>
    <row r="127" spans="1:7">
      <c r="A127" s="5"/>
      <c r="B127" s="8"/>
      <c r="C127" s="8"/>
      <c r="D127" s="2"/>
      <c r="E127" s="2"/>
      <c r="F127" s="2"/>
      <c r="G127" s="2"/>
    </row>
    <row r="128" spans="1:7">
      <c r="A128" s="5"/>
      <c r="B128" s="8"/>
      <c r="C128" s="8"/>
      <c r="D128" s="2"/>
      <c r="E128" s="2"/>
      <c r="F128" s="2"/>
      <c r="G128" s="2"/>
    </row>
    <row r="129" spans="1:7">
      <c r="A129" s="5"/>
      <c r="B129" s="8"/>
      <c r="C129" s="8"/>
      <c r="D129" s="2"/>
      <c r="E129" s="2"/>
      <c r="F129" s="2"/>
      <c r="G129" s="2"/>
    </row>
    <row r="130" spans="1:7">
      <c r="A130" s="5"/>
      <c r="B130" s="8"/>
      <c r="C130" s="8"/>
      <c r="D130" s="2"/>
      <c r="E130" s="2"/>
      <c r="F130" s="2"/>
      <c r="G130" s="2"/>
    </row>
    <row r="131" spans="1:7">
      <c r="A131" s="5"/>
      <c r="B131" s="8"/>
      <c r="C131" s="8"/>
      <c r="D131" s="2"/>
      <c r="E131" s="2"/>
      <c r="F131" s="2"/>
      <c r="G131" s="2"/>
    </row>
    <row r="132" spans="1:7">
      <c r="A132" s="5"/>
      <c r="B132" s="8"/>
      <c r="C132" s="8"/>
      <c r="D132" s="2"/>
      <c r="E132" s="2"/>
      <c r="F132" s="2"/>
      <c r="G132" s="2"/>
    </row>
    <row r="133" spans="1:7">
      <c r="A133" s="5"/>
      <c r="B133" s="8"/>
      <c r="C133" s="8"/>
      <c r="D133" s="2"/>
      <c r="E133" s="2"/>
      <c r="F133" s="2"/>
      <c r="G133" s="2"/>
    </row>
    <row r="134" spans="1:7">
      <c r="A134" s="5"/>
      <c r="B134" s="8"/>
      <c r="C134" s="8"/>
    </row>
    <row r="135" spans="1:7">
      <c r="A135" s="5"/>
      <c r="B135" s="8"/>
      <c r="C135" s="8"/>
    </row>
    <row r="136" spans="1:7">
      <c r="A136" s="5"/>
      <c r="B136" s="8"/>
      <c r="C136" s="8"/>
    </row>
    <row r="137" spans="1:7">
      <c r="A137" s="5"/>
      <c r="B137" s="8"/>
      <c r="C137" s="8"/>
    </row>
    <row r="138" spans="1:7">
      <c r="A138" s="5"/>
      <c r="B138" s="8"/>
      <c r="C138" s="8"/>
    </row>
    <row r="139" spans="1:7">
      <c r="A139" s="5"/>
      <c r="B139" s="8"/>
      <c r="C139" s="8"/>
    </row>
    <row r="140" spans="1:7">
      <c r="A140" s="5"/>
      <c r="B140" s="8"/>
      <c r="C140" s="8"/>
    </row>
    <row r="141" spans="1:7">
      <c r="A141" s="5"/>
      <c r="B141" s="8"/>
      <c r="C141" s="8"/>
    </row>
    <row r="142" spans="1:7">
      <c r="A142" s="5"/>
      <c r="B142" s="8"/>
      <c r="C142" s="8"/>
    </row>
    <row r="143" spans="1:7">
      <c r="A143" s="5"/>
      <c r="B143" s="8"/>
      <c r="C143" s="8"/>
    </row>
    <row r="144" spans="1:7">
      <c r="A144" s="5"/>
      <c r="B144" s="8"/>
      <c r="C144" s="8"/>
    </row>
    <row r="145" spans="1:3">
      <c r="A145" s="5"/>
      <c r="B145" s="8"/>
      <c r="C145" s="8"/>
    </row>
    <row r="146" spans="1:3">
      <c r="A146" s="5"/>
      <c r="B146" s="8"/>
      <c r="C146" s="8"/>
    </row>
    <row r="147" spans="1:3">
      <c r="A147" s="5"/>
      <c r="B147" s="8"/>
      <c r="C147" s="8"/>
    </row>
    <row r="148" spans="1:3">
      <c r="A148" s="5"/>
      <c r="B148" s="8"/>
      <c r="C148" s="8"/>
    </row>
    <row r="149" spans="1:3">
      <c r="A149" s="5"/>
      <c r="B149" s="8"/>
      <c r="C149" s="8"/>
    </row>
    <row r="150" spans="1:3">
      <c r="A150" s="5"/>
      <c r="B150" s="8"/>
      <c r="C150" s="8"/>
    </row>
    <row r="151" spans="1:3">
      <c r="A151" s="5"/>
      <c r="B151" s="8"/>
      <c r="C151" s="8"/>
    </row>
    <row r="152" spans="1:3">
      <c r="A152" s="5"/>
      <c r="B152" s="8"/>
      <c r="C152" s="8"/>
    </row>
    <row r="153" spans="1:3">
      <c r="A153" s="5"/>
      <c r="B153" s="8"/>
      <c r="C153" s="8"/>
    </row>
    <row r="154" spans="1:3">
      <c r="A154" s="5"/>
      <c r="B154" s="8"/>
      <c r="C154" s="8"/>
    </row>
    <row r="155" spans="1:3">
      <c r="A155" s="5"/>
      <c r="B155" s="8"/>
      <c r="C155" s="8"/>
    </row>
    <row r="156" spans="1:3">
      <c r="A156" s="5"/>
      <c r="B156" s="8"/>
      <c r="C156" s="8"/>
    </row>
    <row r="157" spans="1:3">
      <c r="A157" s="5"/>
      <c r="B157" s="8"/>
      <c r="C157" s="8"/>
    </row>
    <row r="158" spans="1:3">
      <c r="A158" s="5"/>
      <c r="B158" s="8"/>
      <c r="C158" s="8"/>
    </row>
    <row r="159" spans="1:3">
      <c r="A159" s="5"/>
      <c r="B159" s="8"/>
      <c r="C159" s="8"/>
    </row>
    <row r="160" spans="1:3">
      <c r="A160" s="5"/>
      <c r="B160" s="8"/>
      <c r="C160" s="8"/>
    </row>
    <row r="161" spans="1:3">
      <c r="A161" s="5"/>
      <c r="B161" s="8"/>
      <c r="C161" s="8"/>
    </row>
    <row r="162" spans="1:3">
      <c r="A162" s="5"/>
      <c r="B162" s="8"/>
      <c r="C162" s="8"/>
    </row>
    <row r="163" spans="1:3">
      <c r="A163" s="5"/>
      <c r="B163" s="8"/>
      <c r="C163" s="8"/>
    </row>
    <row r="164" spans="1:3">
      <c r="A164" s="5"/>
      <c r="B164" s="8"/>
      <c r="C164" s="8"/>
    </row>
    <row r="165" spans="1:3">
      <c r="A165" s="5"/>
      <c r="B165" s="8"/>
      <c r="C165" s="8"/>
    </row>
    <row r="166" spans="1:3">
      <c r="A166" s="5"/>
      <c r="B166" s="8"/>
      <c r="C166" s="8"/>
    </row>
    <row r="167" spans="1:3">
      <c r="A167" s="5"/>
      <c r="B167" s="8"/>
      <c r="C167" s="8"/>
    </row>
    <row r="168" spans="1:3">
      <c r="A168" s="5"/>
      <c r="B168" s="8"/>
      <c r="C168" s="8"/>
    </row>
    <row r="169" spans="1:3">
      <c r="A169" s="5"/>
      <c r="B169" s="8"/>
      <c r="C169" s="8"/>
    </row>
    <row r="170" spans="1:3">
      <c r="A170" s="5"/>
      <c r="B170" s="8"/>
      <c r="C170" s="8"/>
    </row>
    <row r="171" spans="1:3">
      <c r="A171" s="5"/>
      <c r="B171" s="8"/>
      <c r="C171" s="8"/>
    </row>
    <row r="172" spans="1:3">
      <c r="A172" s="5"/>
      <c r="B172" s="8"/>
      <c r="C172" s="8"/>
    </row>
    <row r="173" spans="1:3">
      <c r="A173" s="5"/>
      <c r="B173" s="8"/>
      <c r="C173" s="8"/>
    </row>
    <row r="174" spans="1:3">
      <c r="A174" s="5"/>
      <c r="B174" s="8"/>
      <c r="C174" s="8"/>
    </row>
    <row r="175" spans="1:3">
      <c r="A175" s="5"/>
      <c r="B175" s="8"/>
      <c r="C175" s="8"/>
    </row>
    <row r="176" spans="1:3">
      <c r="A176" s="5"/>
      <c r="B176" s="8"/>
      <c r="C176" s="8"/>
    </row>
    <row r="177" spans="1:3">
      <c r="A177" s="5"/>
      <c r="B177" s="8"/>
      <c r="C177" s="8"/>
    </row>
    <row r="178" spans="1:3">
      <c r="A178" s="5"/>
      <c r="B178" s="8"/>
      <c r="C178" s="8"/>
    </row>
    <row r="179" spans="1:3">
      <c r="A179" s="5"/>
      <c r="B179" s="8"/>
      <c r="C179" s="8"/>
    </row>
    <row r="180" spans="1:3">
      <c r="A180" s="5"/>
      <c r="B180" s="8"/>
      <c r="C180" s="8"/>
    </row>
    <row r="181" spans="1:3">
      <c r="A181" s="5"/>
      <c r="B181" s="8"/>
      <c r="C181" s="8"/>
    </row>
    <row r="182" spans="1:3">
      <c r="A182" s="5"/>
      <c r="B182" s="8"/>
      <c r="C182" s="8"/>
    </row>
    <row r="183" spans="1:3">
      <c r="A183" s="5"/>
      <c r="B183" s="8"/>
      <c r="C183" s="8"/>
    </row>
    <row r="184" spans="1:3">
      <c r="A184" s="5"/>
      <c r="B184" s="8"/>
      <c r="C184" s="8"/>
    </row>
    <row r="185" spans="1:3">
      <c r="A185" s="5"/>
      <c r="B185" s="8"/>
      <c r="C185" s="8"/>
    </row>
    <row r="186" spans="1:3">
      <c r="A186" s="5"/>
      <c r="B186" s="8"/>
      <c r="C186" s="8"/>
    </row>
    <row r="187" spans="1:3">
      <c r="A187" s="5"/>
      <c r="B187" s="8"/>
      <c r="C187" s="8"/>
    </row>
    <row r="188" spans="1:3">
      <c r="A188" s="5"/>
      <c r="B188" s="8"/>
      <c r="C188" s="8"/>
    </row>
    <row r="189" spans="1:3">
      <c r="A189" s="5"/>
      <c r="B189" s="8"/>
      <c r="C189" s="8"/>
    </row>
    <row r="190" spans="1:3">
      <c r="A190" s="5"/>
      <c r="B190" s="8"/>
      <c r="C190" s="8"/>
    </row>
    <row r="191" spans="1:3">
      <c r="A191" s="5"/>
      <c r="B191" s="8"/>
      <c r="C191" s="8"/>
    </row>
    <row r="192" spans="1:3">
      <c r="A192" s="5"/>
      <c r="B192" s="8"/>
      <c r="C192" s="8"/>
    </row>
    <row r="193" spans="1:3">
      <c r="A193" s="5"/>
      <c r="B193" s="8"/>
      <c r="C193" s="8"/>
    </row>
    <row r="194" spans="1:3">
      <c r="A194" s="5"/>
      <c r="B194" s="8"/>
      <c r="C194" s="8"/>
    </row>
    <row r="195" spans="1:3">
      <c r="A195" s="5"/>
      <c r="B195" s="8"/>
      <c r="C195" s="8"/>
    </row>
    <row r="196" spans="1:3">
      <c r="A196" s="5"/>
      <c r="B196" s="8"/>
      <c r="C196" s="8"/>
    </row>
    <row r="197" spans="1:3">
      <c r="A197" s="5"/>
      <c r="B197" s="8"/>
      <c r="C197" s="8"/>
    </row>
    <row r="198" spans="1:3">
      <c r="A198" s="5"/>
      <c r="B198" s="8"/>
      <c r="C198" s="8"/>
    </row>
    <row r="199" spans="1:3">
      <c r="A199" s="5"/>
      <c r="B199" s="8"/>
      <c r="C199" s="8"/>
    </row>
    <row r="200" spans="1:3">
      <c r="A200" s="5"/>
      <c r="B200" s="8"/>
      <c r="C200" s="8"/>
    </row>
    <row r="201" spans="1:3">
      <c r="A201" s="5"/>
      <c r="B201" s="8"/>
      <c r="C201" s="8"/>
    </row>
    <row r="202" spans="1:3">
      <c r="A202" s="5"/>
      <c r="B202" s="8"/>
      <c r="C202" s="8"/>
    </row>
    <row r="203" spans="1:3">
      <c r="A203" s="5"/>
      <c r="B203" s="8"/>
      <c r="C203" s="8"/>
    </row>
    <row r="204" spans="1:3">
      <c r="A204" s="5"/>
      <c r="B204" s="8"/>
      <c r="C204" s="8"/>
    </row>
    <row r="205" spans="1:3">
      <c r="A205" s="5"/>
      <c r="B205" s="8"/>
      <c r="C205" s="8"/>
    </row>
    <row r="206" spans="1:3">
      <c r="A206" s="5"/>
      <c r="B206" s="8"/>
      <c r="C206" s="8"/>
    </row>
    <row r="207" spans="1:3">
      <c r="A207" s="5"/>
      <c r="B207" s="8"/>
      <c r="C207" s="8"/>
    </row>
    <row r="208" spans="1:3">
      <c r="A208" s="5"/>
      <c r="B208" s="8"/>
      <c r="C208" s="8"/>
    </row>
    <row r="209" spans="1:3">
      <c r="A209" s="5"/>
      <c r="B209" s="8"/>
      <c r="C209" s="8"/>
    </row>
    <row r="210" spans="1:3">
      <c r="A210" s="5"/>
      <c r="B210" s="8"/>
      <c r="C210" s="8"/>
    </row>
    <row r="211" spans="1:3">
      <c r="A211" s="5"/>
      <c r="B211" s="8"/>
      <c r="C211" s="8"/>
    </row>
    <row r="212" spans="1:3">
      <c r="A212" s="5"/>
      <c r="B212" s="8"/>
      <c r="C212" s="8"/>
    </row>
    <row r="213" spans="1:3">
      <c r="A213" s="5"/>
      <c r="B213" s="8"/>
      <c r="C213" s="8"/>
    </row>
    <row r="214" spans="1:3">
      <c r="A214" s="5"/>
      <c r="B214" s="8"/>
      <c r="C214" s="8"/>
    </row>
    <row r="215" spans="1:3">
      <c r="A215" s="5"/>
      <c r="B215" s="8"/>
      <c r="C215" s="8"/>
    </row>
    <row r="216" spans="1:3">
      <c r="A216" s="5"/>
      <c r="B216" s="8"/>
      <c r="C216" s="8"/>
    </row>
    <row r="217" spans="1:3">
      <c r="A217" s="5"/>
      <c r="B217" s="8"/>
      <c r="C217" s="8"/>
    </row>
    <row r="218" spans="1:3">
      <c r="A218" s="5"/>
      <c r="B218" s="8"/>
      <c r="C218" s="8"/>
    </row>
    <row r="219" spans="1:3">
      <c r="A219" s="5"/>
      <c r="B219" s="8"/>
      <c r="C219" s="8"/>
    </row>
    <row r="220" spans="1:3">
      <c r="A220" s="5"/>
      <c r="B220" s="8"/>
      <c r="C220" s="8"/>
    </row>
    <row r="221" spans="1:3">
      <c r="A221" s="5"/>
      <c r="B221" s="8"/>
      <c r="C221" s="8"/>
    </row>
    <row r="222" spans="1:3">
      <c r="A222" s="5"/>
      <c r="B222" s="8"/>
      <c r="C222" s="8"/>
    </row>
    <row r="223" spans="1:3">
      <c r="A223" s="5"/>
      <c r="B223" s="8"/>
      <c r="C223" s="8"/>
    </row>
    <row r="224" spans="1:3">
      <c r="A224" s="5"/>
      <c r="B224" s="8"/>
      <c r="C224" s="8"/>
    </row>
    <row r="225" spans="1:3">
      <c r="A225" s="5"/>
      <c r="B225" s="8"/>
      <c r="C225" s="8"/>
    </row>
    <row r="226" spans="1:3">
      <c r="A226" s="5"/>
      <c r="B226" s="8"/>
      <c r="C226" s="8"/>
    </row>
    <row r="227" spans="1:3">
      <c r="A227" s="5"/>
      <c r="B227" s="8"/>
      <c r="C227" s="8"/>
    </row>
    <row r="228" spans="1:3">
      <c r="A228" s="5"/>
      <c r="B228" s="8"/>
      <c r="C228" s="8"/>
    </row>
    <row r="229" spans="1:3">
      <c r="A229" s="5"/>
      <c r="B229" s="8"/>
      <c r="C229" s="8"/>
    </row>
    <row r="230" spans="1:3">
      <c r="A230" s="5"/>
      <c r="B230" s="8"/>
      <c r="C230" s="8"/>
    </row>
    <row r="231" spans="1:3">
      <c r="A231" s="5"/>
      <c r="B231" s="8"/>
      <c r="C231" s="8"/>
    </row>
    <row r="232" spans="1:3">
      <c r="A232" s="5"/>
      <c r="B232" s="8"/>
      <c r="C232" s="8"/>
    </row>
    <row r="233" spans="1:3">
      <c r="A233" s="5"/>
      <c r="B233" s="8"/>
      <c r="C233" s="8"/>
    </row>
    <row r="234" spans="1:3">
      <c r="A234" s="5"/>
      <c r="B234" s="8"/>
      <c r="C234" s="8"/>
    </row>
    <row r="235" spans="1:3">
      <c r="A235" s="5"/>
      <c r="B235" s="8"/>
      <c r="C235" s="8"/>
    </row>
    <row r="236" spans="1:3">
      <c r="A236" s="5"/>
      <c r="B236" s="8"/>
      <c r="C236" s="8"/>
    </row>
    <row r="237" spans="1:3">
      <c r="A237" s="5"/>
      <c r="B237" s="8"/>
      <c r="C237" s="8"/>
    </row>
    <row r="238" spans="1:3">
      <c r="A238" s="5"/>
      <c r="B238" s="8"/>
      <c r="C238" s="8"/>
    </row>
    <row r="239" spans="1:3">
      <c r="A239" s="5"/>
      <c r="B239" s="8"/>
      <c r="C239" s="8"/>
    </row>
    <row r="240" spans="1:3">
      <c r="A240" s="5"/>
      <c r="B240" s="8"/>
      <c r="C240" s="8"/>
    </row>
    <row r="241" spans="1:3">
      <c r="A241" s="5"/>
      <c r="B241" s="8"/>
      <c r="C241" s="8"/>
    </row>
    <row r="242" spans="1:3">
      <c r="A242" s="5"/>
      <c r="B242" s="8"/>
      <c r="C242" s="8"/>
    </row>
    <row r="243" spans="1:3">
      <c r="A243" s="5"/>
      <c r="B243" s="8"/>
      <c r="C243" s="8"/>
    </row>
    <row r="244" spans="1:3">
      <c r="A244" s="5"/>
      <c r="B244" s="8"/>
      <c r="C244" s="8"/>
    </row>
    <row r="245" spans="1:3">
      <c r="A245" s="5"/>
      <c r="B245" s="8"/>
      <c r="C245" s="8"/>
    </row>
    <row r="246" spans="1:3">
      <c r="A246" s="5"/>
      <c r="B246" s="8"/>
      <c r="C246" s="8"/>
    </row>
    <row r="247" spans="1:3">
      <c r="A247" s="5"/>
      <c r="B247" s="8"/>
      <c r="C247" s="8"/>
    </row>
    <row r="248" spans="1:3">
      <c r="A248" s="5"/>
      <c r="B248" s="8"/>
      <c r="C248" s="8"/>
    </row>
    <row r="249" spans="1:3">
      <c r="A249" s="5"/>
      <c r="B249" s="8"/>
      <c r="C249" s="8"/>
    </row>
    <row r="250" spans="1:3">
      <c r="A250" s="5"/>
      <c r="B250" s="8"/>
      <c r="C250" s="8"/>
    </row>
    <row r="251" spans="1:3">
      <c r="A251" s="5"/>
      <c r="B251" s="8"/>
      <c r="C251" s="8"/>
    </row>
    <row r="252" spans="1:3">
      <c r="A252" s="5"/>
      <c r="B252" s="8"/>
      <c r="C252" s="8"/>
    </row>
    <row r="253" spans="1:3">
      <c r="A253" s="5"/>
      <c r="B253" s="8"/>
      <c r="C253" s="8"/>
    </row>
    <row r="254" spans="1:3">
      <c r="A254" s="5"/>
      <c r="B254" s="8"/>
      <c r="C254" s="8"/>
    </row>
    <row r="255" spans="1:3">
      <c r="A255" s="5"/>
      <c r="B255" s="8"/>
      <c r="C255" s="8"/>
    </row>
    <row r="256" spans="1:3">
      <c r="A256" s="5"/>
      <c r="B256" s="8"/>
      <c r="C256" s="8"/>
    </row>
    <row r="257" spans="1:3">
      <c r="A257" s="5"/>
      <c r="B257" s="8"/>
      <c r="C257" s="8"/>
    </row>
    <row r="258" spans="1:3">
      <c r="A258" s="5"/>
      <c r="B258" s="8"/>
      <c r="C258" s="8"/>
    </row>
    <row r="259" spans="1:3">
      <c r="A259" s="5"/>
      <c r="B259" s="8"/>
      <c r="C259" s="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</dc:creator>
  <cp:lastModifiedBy>user</cp:lastModifiedBy>
  <dcterms:created xsi:type="dcterms:W3CDTF">2015-02-01T15:27:03Z</dcterms:created>
  <dcterms:modified xsi:type="dcterms:W3CDTF">2015-12-20T14:02:44Z</dcterms:modified>
</cp:coreProperties>
</file>